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alexnicholson/coding/projects/everdell-ai/docs/"/>
    </mc:Choice>
  </mc:AlternateContent>
  <xr:revisionPtr revIDLastSave="0" documentId="13_ncr:1_{67CDEFFF-BD3D-384B-9F7F-50EDBB7D0873}" xr6:coauthVersionLast="47" xr6:coauthVersionMax="47" xr10:uidLastSave="{00000000-0000-0000-0000-000000000000}"/>
  <bookViews>
    <workbookView xWindow="0" yWindow="500" windowWidth="51200" windowHeight="28300" activeTab="1" xr2:uid="{39F69930-F52E-294C-BF8F-3138893AF2AC}"/>
  </bookViews>
  <sheets>
    <sheet name="All Cards" sheetId="1" r:id="rId1"/>
    <sheet name="Rulebook Card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2" l="1"/>
  <c r="A39" i="1"/>
</calcChain>
</file>

<file path=xl/sharedStrings.xml><?xml version="1.0" encoding="utf-8"?>
<sst xmlns="http://schemas.openxmlformats.org/spreadsheetml/2006/main" count="499" uniqueCount="256">
  <si>
    <t>Construction</t>
  </si>
  <si>
    <t>Carnival</t>
  </si>
  <si>
    <t>Castle</t>
  </si>
  <si>
    <t>Cemetery</t>
  </si>
  <si>
    <t>Chapel</t>
  </si>
  <si>
    <t>Clock Tower</t>
  </si>
  <si>
    <t>Courthouse</t>
  </si>
  <si>
    <t>Crane</t>
  </si>
  <si>
    <t>Bridge of the Sky</t>
  </si>
  <si>
    <t>Dungeon</t>
  </si>
  <si>
    <t>Ever Tree</t>
  </si>
  <si>
    <t>Farm</t>
  </si>
  <si>
    <t>McGregor's Market</t>
  </si>
  <si>
    <t>Gazette</t>
  </si>
  <si>
    <t>General Store</t>
  </si>
  <si>
    <t>Inn</t>
  </si>
  <si>
    <t>The Green Acorn</t>
  </si>
  <si>
    <t>Lookout</t>
  </si>
  <si>
    <t>Mine</t>
  </si>
  <si>
    <t>Monastery</t>
  </si>
  <si>
    <t>Palace</t>
  </si>
  <si>
    <t>Post Office</t>
  </si>
  <si>
    <t>Resin Refinery</t>
  </si>
  <si>
    <t>Ruins</t>
  </si>
  <si>
    <t>Silver Scale Spring</t>
  </si>
  <si>
    <t>School</t>
  </si>
  <si>
    <t>Scurbble Stadium</t>
  </si>
  <si>
    <t>Storehouse</t>
  </si>
  <si>
    <t>Theatre</t>
  </si>
  <si>
    <t>Oleander's Opera</t>
  </si>
  <si>
    <t>Twig Barge</t>
  </si>
  <si>
    <t>University</t>
  </si>
  <si>
    <t>Bridge</t>
  </si>
  <si>
    <t>Ferry</t>
  </si>
  <si>
    <t>Harbor</t>
  </si>
  <si>
    <t>Pirate Ship</t>
  </si>
  <si>
    <t>Type (value)</t>
  </si>
  <si>
    <t>unique (1)</t>
  </si>
  <si>
    <t>unique (4)</t>
  </si>
  <si>
    <t>unique (0)</t>
  </si>
  <si>
    <t>unique (2)</t>
  </si>
  <si>
    <t>unique (5)</t>
  </si>
  <si>
    <t>unique (3)</t>
  </si>
  <si>
    <t>common (1)</t>
  </si>
  <si>
    <t>legendary (4)</t>
  </si>
  <si>
    <t>common (2)</t>
  </si>
  <si>
    <t>common (0)</t>
  </si>
  <si>
    <t>legendary (2)</t>
  </si>
  <si>
    <t>Effect</t>
  </si>
  <si>
    <t>1vp / common construction</t>
  </si>
  <si>
    <t>3 pts, at season pay 1 pt to take action</t>
  </si>
  <si>
    <t>1vp / unique construction</t>
  </si>
  <si>
    <t>discard city construction, refund + draw 2</t>
  </si>
  <si>
    <t>play under construction, refund + draw 2</t>
  </si>
  <si>
    <t>1vp / common critter</t>
  </si>
  <si>
    <t>2vp / unique critter</t>
  </si>
  <si>
    <t>Critter</t>
  </si>
  <si>
    <t>Juggler</t>
  </si>
  <si>
    <t>Fynn Nobletail</t>
  </si>
  <si>
    <t>Undertaker</t>
  </si>
  <si>
    <t>Shepherd</t>
  </si>
  <si>
    <t>Historian</t>
  </si>
  <si>
    <t>Foresight</t>
  </si>
  <si>
    <t>Judge</t>
  </si>
  <si>
    <t>Architect</t>
  </si>
  <si>
    <t>Wife</t>
  </si>
  <si>
    <t>Husband</t>
  </si>
  <si>
    <t>Town Crier</t>
  </si>
  <si>
    <t>Shopkeeper</t>
  </si>
  <si>
    <t>Innkeeper</t>
  </si>
  <si>
    <t>Wanderer</t>
  </si>
  <si>
    <t>Miner Mole</t>
  </si>
  <si>
    <t>Monk</t>
  </si>
  <si>
    <t>Amilla Glistendew</t>
  </si>
  <si>
    <t>Postal Pigeon</t>
  </si>
  <si>
    <t>Cirrus Windfall|</t>
  </si>
  <si>
    <t>Peddler</t>
  </si>
  <si>
    <t>Scrubble Champion</t>
  </si>
  <si>
    <t>Woodcarver</t>
  </si>
  <si>
    <t>Bard</t>
  </si>
  <si>
    <t>Barge Toad</t>
  </si>
  <si>
    <t>Doctor</t>
  </si>
  <si>
    <t>Messenger</t>
  </si>
  <si>
    <t>Ferry Ferret</t>
  </si>
  <si>
    <t>Shipwright</t>
  </si>
  <si>
    <t>Pirate</t>
  </si>
  <si>
    <t>legendary (5)</t>
  </si>
  <si>
    <t>move worker, unlock 2nd cell</t>
  </si>
  <si>
    <t>play to oppo city</t>
  </si>
  <si>
    <t>copy 1 production in oppo city</t>
  </si>
  <si>
    <t>Rugwort the Rowdy</t>
  </si>
  <si>
    <t>Teacher</t>
  </si>
  <si>
    <t>Chip Sweep</t>
  </si>
  <si>
    <t>Poe</t>
  </si>
  <si>
    <t>King</t>
  </si>
  <si>
    <t>Ranger</t>
  </si>
  <si>
    <t>Fool</t>
  </si>
  <si>
    <t>Queen</t>
  </si>
  <si>
    <t>Rugwort the Ruler</t>
  </si>
  <si>
    <t>Rugwort the Rowdy Robber</t>
  </si>
  <si>
    <t>Commodity Types Abbreviations</t>
  </si>
  <si>
    <t>r</t>
  </si>
  <si>
    <t>p</t>
  </si>
  <si>
    <t>b</t>
  </si>
  <si>
    <t>t</t>
  </si>
  <si>
    <t>Resin</t>
  </si>
  <si>
    <t>Pebble</t>
  </si>
  <si>
    <t>Berry</t>
  </si>
  <si>
    <t>Twig</t>
  </si>
  <si>
    <t>Cost (Berry)</t>
  </si>
  <si>
    <t>Cost (Twig)</t>
  </si>
  <si>
    <t>Cost (Resin)</t>
  </si>
  <si>
    <t>Cost (Pebble)</t>
  </si>
  <si>
    <t>#</t>
  </si>
  <si>
    <t>legendary (*)</t>
  </si>
  <si>
    <t>Any</t>
  </si>
  <si>
    <t>a</t>
  </si>
  <si>
    <t>draw 1 / green or gain 1a / 2 green</t>
  </si>
  <si>
    <t>reveal 4 cards, play 1 free</t>
  </si>
  <si>
    <t xml:space="preserve">gain 1t, 1r, or 1p after construction </t>
  </si>
  <si>
    <t>discard to play construct for 3a less</t>
  </si>
  <si>
    <t>gain 1b</t>
  </si>
  <si>
    <t>gain 2a</t>
  </si>
  <si>
    <t>gain 1b + 1b if Farm</t>
  </si>
  <si>
    <t>gain 1p</t>
  </si>
  <si>
    <t>give 2a to gain 4 pts</t>
  </si>
  <si>
    <t>gain 1r</t>
  </si>
  <si>
    <t>play card for 3a less when critter locked</t>
  </si>
  <si>
    <t>place 3t, 2r, 1p, or 2b, take all a</t>
  </si>
  <si>
    <t>1vp / unique critter</t>
  </si>
  <si>
    <t>gain 2t</t>
  </si>
  <si>
    <t>for each 1p +1 to hand, draw 2 cards when 1p gained</t>
  </si>
  <si>
    <t>copy revealed river destination</t>
  </si>
  <si>
    <t>if have at least 2p, then gain 2a</t>
  </si>
  <si>
    <t>unique (-2)</t>
  </si>
  <si>
    <t>3 (to oppo)</t>
  </si>
  <si>
    <t>3 up if Husband paired</t>
  </si>
  <si>
    <t>2vp / basic event + 3vp / special event</t>
  </si>
  <si>
    <t>1vp / basic event + 2vp / special event</t>
  </si>
  <si>
    <t>draw 1 when critter or construction played</t>
  </si>
  <si>
    <t>draw 2 / critter or gain 1a / construction played</t>
  </si>
  <si>
    <t>replace 1a when critter or construction played</t>
  </si>
  <si>
    <t>1vp / 1r and 1vp / 1p to 6vp max</t>
  </si>
  <si>
    <t>gain 1a if Wife paired and Farm</t>
  </si>
  <si>
    <t>gain 1b after critter played in your city</t>
  </si>
  <si>
    <t>discard to play critter for 3b less</t>
  </si>
  <si>
    <t>play card up to value 3 for free</t>
  </si>
  <si>
    <t>achieve event without cost</t>
  </si>
  <si>
    <t>reveal 2 cards, play 1 up to value 3 for free</t>
  </si>
  <si>
    <t>activate 1 production in your city</t>
  </si>
  <si>
    <t>pay up to 2a to gain 1a each</t>
  </si>
  <si>
    <t>draw 2, keep 1, give 1</t>
  </si>
  <si>
    <t>discard any, draw to limit</t>
  </si>
  <si>
    <t>2vp / Scrubble Champion (pair with other Chompions)</t>
  </si>
  <si>
    <t>pay up to 3r to gain 1pt each</t>
  </si>
  <si>
    <t>gain 2r for each Farm</t>
  </si>
  <si>
    <t>pay up to 3b to gain 1pt each</t>
  </si>
  <si>
    <t>1vp / Pearlbrook card in city</t>
  </si>
  <si>
    <t>trade Rugwort for free green from oppo, discard 2</t>
  </si>
  <si>
    <t>swap hands with oppo</t>
  </si>
  <si>
    <t>1p / event by 1 oppo</t>
  </si>
  <si>
    <t>place 1pt + draw 2card / pt</t>
  </si>
  <si>
    <t>discard 3 Meadow, replenish, draw 1</t>
  </si>
  <si>
    <t>pay 4r to gain 4pt or reveal cards, if &gt;5pt gain 6pt</t>
  </si>
  <si>
    <t>give up to 2b to gain 2pt each</t>
  </si>
  <si>
    <t>if have at least 2p, then gain 2pt</t>
  </si>
  <si>
    <t>pair 1 construction for 3a less when critter locked (paired points at end)</t>
  </si>
  <si>
    <t>draw 2card</t>
  </si>
  <si>
    <t>1vp / prosperity_card</t>
  </si>
  <si>
    <t>place 1pt / gained event, if &gt;2pt gain 3pt at end</t>
  </si>
  <si>
    <t>play Meadow card for 3a less</t>
  </si>
  <si>
    <t>play 1card for 4a less</t>
  </si>
  <si>
    <t>copy Basic or Forest location</t>
  </si>
  <si>
    <t>give 2card, discard any, draw to limit</t>
  </si>
  <si>
    <t>name color, draw 4card, gain 3pt if matched</t>
  </si>
  <si>
    <t>discard 1card of type City, refund, gain 1a + 1pt</t>
  </si>
  <si>
    <t>move to oppo city, gain 10pt + (1pt / oppo gained)</t>
  </si>
  <si>
    <t>gain 3b + 1pt / Chapel pt</t>
  </si>
  <si>
    <t>may give 2card to oppo, then gain 3pt</t>
  </si>
  <si>
    <t>draw 3card</t>
  </si>
  <si>
    <t>discard up to 5card, gain 1pt / 1card</t>
  </si>
  <si>
    <t>draw 1card + gain 1pt (construction paired, color shared)</t>
  </si>
  <si>
    <t>discard up to 4card, reveal equal, if &gt;6pt, gain 1p</t>
  </si>
  <si>
    <t>Value</t>
  </si>
  <si>
    <t>Fair Grounds</t>
  </si>
  <si>
    <t>unique</t>
  </si>
  <si>
    <t>common</t>
  </si>
  <si>
    <t>Type</t>
  </si>
  <si>
    <t>Total Cards</t>
  </si>
  <si>
    <t xml:space="preserve">At game end, worth 1 point for each Common Construction in your city. </t>
  </si>
  <si>
    <t>When you place a worker here, reveal 4 cards from the draw pile or discard pile and play 1 of them for free. Discard the others. Your worker must stay here permanently. Cemetery may only have up to 2 workers on it, but the second spot must be unlocked by having a Undertaker in your city.</t>
  </si>
  <si>
    <t>When you place a worker here, place 1 point token on the Chapel. Draw 2 cards for every 1 point token on the Chapel.</t>
  </si>
  <si>
    <t>When you play the Clock Tower, place 3 point tokens on it. Before you bring back your workers during a Prepare for Season action, remove 1 point token from the Clock Tower and activate one of the basic or Forest locations where you have a worker deployed. Any points left on the Clock Tower at game’s end will count towards your point total.</t>
  </si>
  <si>
    <t xml:space="preserve">Gain 1 twig, 1 resin, or 1 pebble every time you play a Construction into your city. You do not gain resources for playing this Courthouse. </t>
  </si>
  <si>
    <t xml:space="preserve">When you play a Construction, you may discard this Crane from your city to decrease the cost of the played Construction by 3 of any resource. You do not gain the 3 resources. This card cannot be combined with any other card-playing abilities—including the Inn, any forest tiles that allow you to play a card, or cards like the Dungeon. </t>
  </si>
  <si>
    <t>When you are playing a Construction or a Critter, you may place a Critter from your city beneath this Dungeon to decrease the cost of the played card by 3 of any resource. You do not gain the 3 resources. The Critter in your Dungeon is no longer considered part of your city and is not worth any points. This card cannot be combined with any other card-playing abilities—including the Inn, any forest tiles that allow you to play a card, or cards like the Crane or Innkeeper. Dungeon can only have up to 2 prisoners, but the second cell must be unlocked by having a Ranger in your city.</t>
  </si>
  <si>
    <t xml:space="preserve">At game end, worth 1 point for each purple Prosperity card in your city, including this Ever Tree. Ever Tree can grant 1 of any Critter for free. </t>
  </si>
  <si>
    <t xml:space="preserve">When played and during Production, draw 2 cards. </t>
  </si>
  <si>
    <t xml:space="preserve">When played and during Production, gain 1 berry. </t>
  </si>
  <si>
    <t xml:space="preserve">When played and during Production, gain 1 berry or gain 2 berries if you have a Farm in your city (not 2 berries per Farm). </t>
  </si>
  <si>
    <t xml:space="preserve">When you place a worker here, copy any 1 basic or Forest location, even if it is occupied by 1 of your workers. </t>
  </si>
  <si>
    <t xml:space="preserve">When played and during Production, gain 1 pebble. </t>
  </si>
  <si>
    <t xml:space="preserve">At game end, worth 1 point for each Unique Construction in your city, including this Palace. </t>
  </si>
  <si>
    <t xml:space="preserve">When played and during Production, gain 1 resin. </t>
  </si>
  <si>
    <t xml:space="preserve">When played, discard a Construction from your city and place this card in that spot, then receive back that Construction’s listed cost in resources. Also draw 2 cards. </t>
  </si>
  <si>
    <t xml:space="preserve">At game end, worth 1 point for each Common Critter in your city. </t>
  </si>
  <si>
    <t xml:space="preserve">When played and during Production, take from the supply and place either 3 twigs, 2 resin, 1 pebble, or 2 berries on this card. Also works as a location to place a worker and take all of the resources on the card. </t>
  </si>
  <si>
    <t xml:space="preserve">At game end is worth 1 point for each Unique Critter in your city. </t>
  </si>
  <si>
    <t xml:space="preserve">When played and during Production, gain 2 twigs. </t>
  </si>
  <si>
    <t>When you place a worker here, discard 1 Construction or Critter from your city and receive back the listed cost of resources of the discarded card, plus gain 1 of any resource and gain 1 point. If you discard a card with a permanent worker on it, place that worker on the University permanently instead (you do not get the worker back).</t>
  </si>
  <si>
    <t>When you place a worker here, give 2 of any resources to an opponent and then gain 4 points. Worker stays here permanently. Monastery can only have up to 2 workers on it, but the second spot must be unlocked by having a Monk in your city.</t>
  </si>
  <si>
    <t xml:space="preserve">At game end, worth 1 point for each of your leftover resin and pebbles, up to 6 points total. </t>
  </si>
  <si>
    <t xml:space="preserve">Discard up to 5 cards from your hand, to gain 1 point token for each card. </t>
  </si>
  <si>
    <t xml:space="preserve">When played and during Production, gain 2 twigs for each Farm in your city. </t>
  </si>
  <si>
    <t xml:space="preserve">When played and during Production, activate any 1 green Production card in your city. We know what you are thinking, and we do not recommend it. By the time the poor thing caught his tail, he’d burned a hole straight through our table. Do not ask him to do that. </t>
  </si>
  <si>
    <t xml:space="preserve">When played and during Production, you may pay up to 3 berries to gain 1 point token for each berry. </t>
  </si>
  <si>
    <t xml:space="preserve">Draw 1 card after you play a Critter or Construction—basically every time you play a card after you have this Historian, you get to draw a card. </t>
  </si>
  <si>
    <t xml:space="preserve">Shares a space with a Wife, so combined they only take up 1 space in your city. If you have a Farm in your City and this Husband is paired with a Wife, then this card gives you 1 of any resource when played and during Production. May only share a space with 1 Wife. </t>
  </si>
  <si>
    <t>When you play a Critter, you may discard this Innkeeper from your city to decrease the cost of the played Critter by 3 berries. You do not gain the 3 berries. This card cannot be combined with any other card-playing abilities—including the Inn, any forest tiles that allow you to play a card, or cards like the Dungeon.</t>
  </si>
  <si>
    <t xml:space="preserve">When playing a Critter or Construction, you may replace 1 of any resource in the cost with 1 of any other resource you have. Example: If a card costs 2 berries, you may pay 1 berry and 1 twig instead. </t>
  </si>
  <si>
    <t xml:space="preserve">At game end, worth 1 point for each basic Event, and 2 points for each special Event you have achieved. </t>
  </si>
  <si>
    <t xml:space="preserve">When played and during Production, you may give up to 2 berries to an opponent to gain 2 point tokens for each berry you give. Also unlocks the 2nd Monastery room. </t>
  </si>
  <si>
    <t xml:space="preserve">When played and during Production, you may trade up to 2 of your resources for 2 of any other resource. Trade with the general supply, not other players. </t>
  </si>
  <si>
    <t xml:space="preserve">When you place a worker here, you may play any card from your hand or the Meadow cards worth up to 3 points for free. This refers to the base points of the card, not bonus points. </t>
  </si>
  <si>
    <t xml:space="preserve">When played, move any 1 of your deployed workers to a new location, following the normal worker placement rules. Also unlocks the 2nd Dungeon cell. </t>
  </si>
  <si>
    <t xml:space="preserve">When played, gain 3 berries. Also gain 1 point token for each point token on your Chapel. </t>
  </si>
  <si>
    <t xml:space="preserve">Gain 1 berry after you play a Critter into your city. Do not gain a berry for playing this Shopkeeper. </t>
  </si>
  <si>
    <t xml:space="preserve">When played and during Production, draw 2 cards. Keep 1 of them and give the other to any opponent. </t>
  </si>
  <si>
    <t xml:space="preserve">When played, discard 3 of the Meadow cards, replenish those 3 cards, then draw 1 card from the Meadow cards into your hand. Also unlocks the 2nd Cemetery plot. </t>
  </si>
  <si>
    <t xml:space="preserve">When played, draw 3 cards. Does not take up 1 of the 15 spots in your city. </t>
  </si>
  <si>
    <t xml:space="preserve">Shares a space with a Husband, so combined they only take up 1 space in your city. At game end, worth 3 points if paired with a Husband. May only share space with 1 Husband. </t>
  </si>
  <si>
    <t xml:space="preserve">When played and during Production, you may pay up to 3 twigs to gain 1 point token for each. </t>
  </si>
  <si>
    <t>onPlay</t>
  </si>
  <si>
    <t>onStep</t>
  </si>
  <si>
    <t>onGameEnd</t>
  </si>
  <si>
    <t>Y</t>
  </si>
  <si>
    <t>onWorker</t>
  </si>
  <si>
    <t>onPrepareSeason</t>
  </si>
  <si>
    <t>onOtherCard</t>
  </si>
  <si>
    <t>When you place a worker here, play a Critter or Construction from the Meadow cards for 3 less resources of your choice. You do not gain the 3 resources. You gain 1 point token if an opponent visits your Inn.</t>
  </si>
  <si>
    <t>When you place a worker here, give an opponent 2 cards from your hand and then discard any amount of cards from your hand that you want. Then draw cards from the draw pile up to your hand limit. You gain 1 point token if an opponent visits your Post Office.</t>
  </si>
  <si>
    <t>The Fool is played into an empty spot in an opponent’s city. Stinks, don’t it?</t>
  </si>
  <si>
    <t>When played, reveal 2 cards from the deck. You may immediately play 1 of these worth up to 3 points, for free. Discard the other.</t>
  </si>
  <si>
    <t>When played and during Production, you may copy any 1 green Production card in any opponent’s city. Basically the Miner Mole becomes that card for a moment—so if copying a General Store, you would receive 2 berries if that opponent also had a Farm in their city.</t>
  </si>
  <si>
    <t>Pickup Cards(num)</t>
  </si>
  <si>
    <t>Discard Cards(cards)</t>
  </si>
  <si>
    <t>Give Cards to Opp(cards)</t>
  </si>
  <si>
    <t>Take Cards from Opp(cards)</t>
  </si>
  <si>
    <t>Pickup Resources(resourceValue)</t>
  </si>
  <si>
    <t>Discard Resources(resourceValue)</t>
  </si>
  <si>
    <t>Discard Meadow Cards (cards)</t>
  </si>
  <si>
    <t>Can be from deck or Meadow</t>
  </si>
  <si>
    <t>Decrease Cost()</t>
  </si>
  <si>
    <t>Give berries to Opp(opp)</t>
  </si>
  <si>
    <t>Move Worker(start, end)</t>
  </si>
  <si>
    <t>Activate Card(Card)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</si>
</sst>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Helvetica"/>
      <family val="2"/>
    </font>
    <font>
      <sz val="14"/>
      <color theme="1"/>
      <name val="Helvetica"/>
      <family val="2"/>
    </font>
    <font>
      <sz val="14"/>
      <color theme="1"/>
      <name val="Aptos Narrow"/>
      <family val="2"/>
      <scheme val="minor"/>
    </font>
    <font>
      <sz val="12"/>
      <color rgb="FFFF0000"/>
      <name val="Helvetica"/>
      <family val="2"/>
    </font>
    <font>
      <sz val="12"/>
      <color rgb="FF000000"/>
      <name val="Helvetica"/>
      <family val="2"/>
    </font>
    <font>
      <b/>
      <sz val="12"/>
      <color theme="1"/>
      <name val="Helvetica"/>
      <family val="2"/>
    </font>
    <font>
      <sz val="14"/>
      <color rgb="FF000000"/>
      <name val="Helvetica"/>
      <family val="2"/>
    </font>
    <font>
      <sz val="12"/>
      <color rgb="FF00B0F0"/>
      <name val="Helvetica"/>
      <family val="2"/>
    </font>
    <font>
      <sz val="12"/>
      <color rgb="FF00B0F0"/>
      <name val="Aptos Narrow"/>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3" tint="0.749992370372631"/>
        <bgColor indexed="64"/>
      </patternFill>
    </fill>
    <fill>
      <patternFill patternType="solid">
        <fgColor rgb="FFFFFF00"/>
        <bgColor indexed="64"/>
      </patternFill>
    </fill>
    <fill>
      <patternFill patternType="solid">
        <fgColor rgb="FFD9D9D9"/>
        <bgColor rgb="FF000000"/>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3">
    <xf numFmtId="0" fontId="0" fillId="0" borderId="0" xfId="0"/>
    <xf numFmtId="0" fontId="1" fillId="0" borderId="0" xfId="0" applyFont="1"/>
    <xf numFmtId="0" fontId="3" fillId="0" borderId="0" xfId="0" applyFont="1"/>
    <xf numFmtId="0" fontId="4" fillId="0" borderId="0" xfId="0" applyFont="1"/>
    <xf numFmtId="0" fontId="1" fillId="0" borderId="0" xfId="0" applyFont="1" applyAlignment="1">
      <alignment horizontal="center"/>
    </xf>
    <xf numFmtId="0" fontId="2" fillId="2" borderId="0" xfId="0" applyFont="1" applyFill="1"/>
    <xf numFmtId="0" fontId="3" fillId="2" borderId="0" xfId="0" applyFont="1" applyFill="1"/>
    <xf numFmtId="0" fontId="1" fillId="3" borderId="1" xfId="0" applyFont="1" applyFill="1" applyBorder="1"/>
    <xf numFmtId="0" fontId="1" fillId="0" borderId="2" xfId="0" applyFont="1" applyBorder="1" applyAlignment="1">
      <alignment horizontal="center"/>
    </xf>
    <xf numFmtId="0" fontId="1" fillId="0" borderId="2" xfId="0" applyFont="1" applyBorder="1"/>
    <xf numFmtId="0" fontId="1" fillId="0" borderId="3" xfId="0" applyFont="1" applyBorder="1"/>
    <xf numFmtId="0" fontId="1" fillId="3" borderId="4" xfId="0" applyFont="1" applyFill="1" applyBorder="1"/>
    <xf numFmtId="0" fontId="1" fillId="0" borderId="5" xfId="0" applyFont="1" applyBorder="1"/>
    <xf numFmtId="0" fontId="1" fillId="3" borderId="6" xfId="0" applyFont="1" applyFill="1" applyBorder="1"/>
    <xf numFmtId="0" fontId="1" fillId="0" borderId="7" xfId="0" applyFont="1" applyBorder="1" applyAlignment="1">
      <alignment horizontal="center"/>
    </xf>
    <xf numFmtId="0" fontId="1" fillId="0" borderId="7" xfId="0" applyFont="1" applyBorder="1"/>
    <xf numFmtId="0" fontId="2" fillId="2" borderId="1" xfId="0" applyFont="1" applyFill="1" applyBorder="1"/>
    <xf numFmtId="0" fontId="2" fillId="2" borderId="2" xfId="0" applyFont="1" applyFill="1" applyBorder="1"/>
    <xf numFmtId="0" fontId="3" fillId="2" borderId="2" xfId="0" applyFont="1" applyFill="1" applyBorder="1"/>
    <xf numFmtId="0" fontId="2" fillId="2" borderId="3" xfId="0" applyFont="1" applyFill="1" applyBorder="1"/>
    <xf numFmtId="0" fontId="1" fillId="0" borderId="4" xfId="0" applyFont="1" applyBorder="1"/>
    <xf numFmtId="0" fontId="4" fillId="0" borderId="4" xfId="0" applyFont="1" applyBorder="1"/>
    <xf numFmtId="0" fontId="1" fillId="0" borderId="6" xfId="0" applyFont="1" applyBorder="1"/>
    <xf numFmtId="0" fontId="1" fillId="0" borderId="8" xfId="0" applyFont="1" applyBorder="1"/>
    <xf numFmtId="0" fontId="5" fillId="0" borderId="0" xfId="0" applyFont="1"/>
    <xf numFmtId="0" fontId="1" fillId="4" borderId="0" xfId="0" applyFont="1" applyFill="1"/>
    <xf numFmtId="0" fontId="1" fillId="4" borderId="4" xfId="0" applyFont="1" applyFill="1" applyBorder="1"/>
    <xf numFmtId="0" fontId="1" fillId="4" borderId="1" xfId="0" applyFont="1" applyFill="1" applyBorder="1"/>
    <xf numFmtId="0" fontId="2" fillId="2" borderId="0" xfId="0" applyFont="1" applyFill="1" applyBorder="1"/>
    <xf numFmtId="0" fontId="3" fillId="2" borderId="0" xfId="0" applyFont="1" applyFill="1" applyBorder="1"/>
    <xf numFmtId="0" fontId="1" fillId="4" borderId="0" xfId="0" applyFont="1" applyFill="1" applyBorder="1"/>
    <xf numFmtId="0" fontId="1" fillId="0" borderId="0" xfId="0" applyFont="1" applyBorder="1" applyAlignment="1">
      <alignment horizontal="center"/>
    </xf>
    <xf numFmtId="0" fontId="1" fillId="0" borderId="0" xfId="0" applyFont="1" applyBorder="1"/>
    <xf numFmtId="0" fontId="0" fillId="0" borderId="0" xfId="0" applyBorder="1"/>
    <xf numFmtId="0" fontId="1" fillId="0" borderId="0" xfId="0" applyFont="1" applyFill="1" applyBorder="1"/>
    <xf numFmtId="0" fontId="6" fillId="0" borderId="0" xfId="0" applyFont="1" applyBorder="1" applyAlignment="1">
      <alignment horizontal="center"/>
    </xf>
    <xf numFmtId="0" fontId="1" fillId="0" borderId="0" xfId="0" applyFont="1" applyFill="1" applyBorder="1" applyAlignment="1">
      <alignment horizontal="center"/>
    </xf>
    <xf numFmtId="0" fontId="1" fillId="0" borderId="0" xfId="0" applyFont="1" applyBorder="1" applyAlignment="1">
      <alignment wrapText="1"/>
    </xf>
    <xf numFmtId="0" fontId="7" fillId="5" borderId="0" xfId="0" applyFont="1" applyFill="1"/>
    <xf numFmtId="0" fontId="8" fillId="0" borderId="0" xfId="0" applyFont="1" applyBorder="1" applyAlignment="1">
      <alignment wrapText="1"/>
    </xf>
    <xf numFmtId="0" fontId="8" fillId="0" borderId="0" xfId="0" applyFont="1" applyFill="1" applyBorder="1" applyAlignment="1">
      <alignment wrapText="1"/>
    </xf>
    <xf numFmtId="0" fontId="9" fillId="0" borderId="0" xfId="0" applyFont="1"/>
    <xf numFmtId="0" fontId="8"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90DA1-D785-D64D-8ACB-37130B6A9EFA}">
  <dimension ref="A1:M47"/>
  <sheetViews>
    <sheetView topLeftCell="I1" zoomScale="113" workbookViewId="0">
      <selection activeCell="M40" sqref="A1:M40"/>
    </sheetView>
  </sheetViews>
  <sheetFormatPr baseColWidth="10" defaultRowHeight="16" x14ac:dyDescent="0.2"/>
  <cols>
    <col min="1" max="1" width="27.1640625" bestFit="1" customWidth="1"/>
    <col min="2" max="2" width="2.5" bestFit="1" customWidth="1"/>
    <col min="3" max="3" width="14.5" bestFit="1" customWidth="1"/>
    <col min="4" max="4" width="14.5" customWidth="1"/>
    <col min="5" max="5" width="11.33203125" bestFit="1" customWidth="1"/>
    <col min="6" max="6" width="12.5" bestFit="1" customWidth="1"/>
    <col min="7" max="7" width="13.6640625" bestFit="1" customWidth="1"/>
    <col min="8" max="8" width="64.33203125" bestFit="1" customWidth="1"/>
    <col min="9" max="9" width="26.83203125" bestFit="1" customWidth="1"/>
    <col min="10" max="10" width="2.5" bestFit="1" customWidth="1"/>
    <col min="11" max="11" width="14.5" bestFit="1" customWidth="1"/>
    <col min="12" max="12" width="12.1640625" bestFit="1" customWidth="1"/>
    <col min="13" max="13" width="54.1640625" bestFit="1" customWidth="1"/>
  </cols>
  <sheetData>
    <row r="1" spans="1:13" s="2" customFormat="1" ht="19" x14ac:dyDescent="0.25">
      <c r="A1" s="5" t="s">
        <v>0</v>
      </c>
      <c r="B1" s="5" t="s">
        <v>113</v>
      </c>
      <c r="C1" s="5" t="s">
        <v>36</v>
      </c>
      <c r="D1" s="5" t="s">
        <v>183</v>
      </c>
      <c r="E1" s="6" t="s">
        <v>110</v>
      </c>
      <c r="F1" s="6" t="s">
        <v>111</v>
      </c>
      <c r="G1" s="6" t="s">
        <v>112</v>
      </c>
      <c r="H1" s="5" t="s">
        <v>48</v>
      </c>
      <c r="I1" s="16" t="s">
        <v>56</v>
      </c>
      <c r="J1" s="17" t="s">
        <v>113</v>
      </c>
      <c r="K1" s="17" t="s">
        <v>36</v>
      </c>
      <c r="L1" s="18" t="s">
        <v>109</v>
      </c>
      <c r="M1" s="19" t="s">
        <v>48</v>
      </c>
    </row>
    <row r="2" spans="1:13" x14ac:dyDescent="0.2">
      <c r="A2" s="25" t="s">
        <v>1</v>
      </c>
      <c r="B2" s="4">
        <v>2</v>
      </c>
      <c r="C2" s="1" t="s">
        <v>37</v>
      </c>
      <c r="D2" s="1">
        <v>1</v>
      </c>
      <c r="E2" s="1">
        <v>2</v>
      </c>
      <c r="F2" s="1"/>
      <c r="G2" s="1">
        <v>1</v>
      </c>
      <c r="H2" s="1" t="s">
        <v>117</v>
      </c>
      <c r="I2" s="20" t="s">
        <v>57</v>
      </c>
      <c r="J2" s="4">
        <v>3</v>
      </c>
      <c r="K2" s="1" t="s">
        <v>46</v>
      </c>
      <c r="L2" s="1">
        <v>2</v>
      </c>
      <c r="M2" s="12" t="s">
        <v>163</v>
      </c>
    </row>
    <row r="3" spans="1:13" x14ac:dyDescent="0.2">
      <c r="A3" s="25" t="s">
        <v>2</v>
      </c>
      <c r="B3" s="4">
        <v>2</v>
      </c>
      <c r="C3" s="1" t="s">
        <v>38</v>
      </c>
      <c r="D3" s="1">
        <v>4</v>
      </c>
      <c r="E3" s="1">
        <v>2</v>
      </c>
      <c r="F3" s="1">
        <v>3</v>
      </c>
      <c r="G3" s="1">
        <v>2</v>
      </c>
      <c r="H3" s="1" t="s">
        <v>49</v>
      </c>
      <c r="I3" s="26" t="s">
        <v>94</v>
      </c>
      <c r="J3" s="4">
        <v>2</v>
      </c>
      <c r="K3" s="1" t="s">
        <v>38</v>
      </c>
      <c r="L3" s="1">
        <v>6</v>
      </c>
      <c r="M3" s="12" t="s">
        <v>138</v>
      </c>
    </row>
    <row r="4" spans="1:13" x14ac:dyDescent="0.2">
      <c r="A4" s="25" t="s">
        <v>3</v>
      </c>
      <c r="B4" s="4">
        <v>2</v>
      </c>
      <c r="C4" s="1" t="s">
        <v>39</v>
      </c>
      <c r="D4" s="1">
        <v>0</v>
      </c>
      <c r="E4" s="1"/>
      <c r="F4" s="1"/>
      <c r="G4" s="1">
        <v>2</v>
      </c>
      <c r="H4" s="1" t="s">
        <v>118</v>
      </c>
      <c r="I4" s="21" t="s">
        <v>58</v>
      </c>
      <c r="J4" s="4">
        <v>1</v>
      </c>
      <c r="K4" s="1" t="s">
        <v>86</v>
      </c>
      <c r="L4" s="1">
        <v>7</v>
      </c>
      <c r="M4" s="12" t="s">
        <v>137</v>
      </c>
    </row>
    <row r="5" spans="1:13" x14ac:dyDescent="0.2">
      <c r="A5" s="25" t="s">
        <v>4</v>
      </c>
      <c r="B5" s="4">
        <v>2</v>
      </c>
      <c r="C5" s="1" t="s">
        <v>40</v>
      </c>
      <c r="D5" s="1">
        <v>2</v>
      </c>
      <c r="E5" s="1">
        <v>2</v>
      </c>
      <c r="F5" s="1">
        <v>1</v>
      </c>
      <c r="G5" s="1">
        <v>1</v>
      </c>
      <c r="H5" s="1" t="s">
        <v>161</v>
      </c>
      <c r="I5" s="26" t="s">
        <v>59</v>
      </c>
      <c r="J5" s="4">
        <v>2</v>
      </c>
      <c r="K5" s="1" t="s">
        <v>37</v>
      </c>
      <c r="L5" s="1">
        <v>2</v>
      </c>
      <c r="M5" s="12" t="s">
        <v>162</v>
      </c>
    </row>
    <row r="6" spans="1:13" x14ac:dyDescent="0.2">
      <c r="A6" s="25" t="s">
        <v>5</v>
      </c>
      <c r="B6" s="4">
        <v>3</v>
      </c>
      <c r="C6" s="1" t="s">
        <v>39</v>
      </c>
      <c r="D6" s="1">
        <v>0</v>
      </c>
      <c r="E6" s="1">
        <v>3</v>
      </c>
      <c r="F6" s="1"/>
      <c r="G6" s="1">
        <v>1</v>
      </c>
      <c r="H6" s="1" t="s">
        <v>50</v>
      </c>
      <c r="I6" s="26" t="s">
        <v>60</v>
      </c>
      <c r="J6" s="4">
        <v>2</v>
      </c>
      <c r="K6" s="1" t="s">
        <v>37</v>
      </c>
      <c r="L6" s="1" t="s">
        <v>135</v>
      </c>
      <c r="M6" s="12" t="s">
        <v>177</v>
      </c>
    </row>
    <row r="7" spans="1:13" x14ac:dyDescent="0.2">
      <c r="A7" s="25" t="s">
        <v>6</v>
      </c>
      <c r="B7" s="4">
        <v>2</v>
      </c>
      <c r="C7" s="1" t="s">
        <v>40</v>
      </c>
      <c r="D7" s="1">
        <v>2</v>
      </c>
      <c r="E7" s="1">
        <v>1</v>
      </c>
      <c r="F7" s="1">
        <v>1</v>
      </c>
      <c r="G7" s="1">
        <v>2</v>
      </c>
      <c r="H7" s="1" t="s">
        <v>119</v>
      </c>
      <c r="I7" s="26" t="s">
        <v>61</v>
      </c>
      <c r="J7" s="4">
        <v>3</v>
      </c>
      <c r="K7" s="1" t="s">
        <v>37</v>
      </c>
      <c r="L7" s="1">
        <v>2</v>
      </c>
      <c r="M7" s="12" t="s">
        <v>139</v>
      </c>
    </row>
    <row r="8" spans="1:13" x14ac:dyDescent="0.2">
      <c r="A8" s="25" t="s">
        <v>7</v>
      </c>
      <c r="B8" s="4">
        <v>3</v>
      </c>
      <c r="C8" s="1" t="s">
        <v>37</v>
      </c>
      <c r="D8" s="1">
        <v>1</v>
      </c>
      <c r="E8" s="1"/>
      <c r="F8" s="1"/>
      <c r="G8" s="1">
        <v>1</v>
      </c>
      <c r="H8" s="1" t="s">
        <v>120</v>
      </c>
      <c r="I8" s="21" t="s">
        <v>62</v>
      </c>
      <c r="J8" s="4">
        <v>1</v>
      </c>
      <c r="K8" s="1" t="s">
        <v>44</v>
      </c>
      <c r="L8" s="1">
        <v>4</v>
      </c>
      <c r="M8" s="12" t="s">
        <v>140</v>
      </c>
    </row>
    <row r="9" spans="1:13" x14ac:dyDescent="0.2">
      <c r="A9" s="3" t="s">
        <v>8</v>
      </c>
      <c r="B9" s="4">
        <v>1</v>
      </c>
      <c r="C9" s="1" t="s">
        <v>114</v>
      </c>
      <c r="D9" s="1"/>
      <c r="E9" s="1"/>
      <c r="F9" s="1"/>
      <c r="G9" s="1">
        <v>2</v>
      </c>
      <c r="H9" s="1" t="s">
        <v>166</v>
      </c>
      <c r="I9" s="26" t="s">
        <v>63</v>
      </c>
      <c r="J9" s="4">
        <v>2</v>
      </c>
      <c r="K9" s="1" t="s">
        <v>40</v>
      </c>
      <c r="L9" s="1">
        <v>3</v>
      </c>
      <c r="M9" s="12" t="s">
        <v>141</v>
      </c>
    </row>
    <row r="10" spans="1:13" x14ac:dyDescent="0.2">
      <c r="A10" s="25" t="s">
        <v>9</v>
      </c>
      <c r="B10" s="4">
        <v>2</v>
      </c>
      <c r="C10" s="1" t="s">
        <v>39</v>
      </c>
      <c r="D10" s="1">
        <v>0</v>
      </c>
      <c r="E10" s="1"/>
      <c r="F10" s="1">
        <v>1</v>
      </c>
      <c r="G10" s="1">
        <v>2</v>
      </c>
      <c r="H10" s="1" t="s">
        <v>127</v>
      </c>
      <c r="I10" s="26" t="s">
        <v>64</v>
      </c>
      <c r="J10" s="4">
        <v>2</v>
      </c>
      <c r="K10" s="1" t="s">
        <v>40</v>
      </c>
      <c r="L10" s="1">
        <v>4</v>
      </c>
      <c r="M10" s="12" t="s">
        <v>142</v>
      </c>
    </row>
    <row r="11" spans="1:13" x14ac:dyDescent="0.2">
      <c r="A11" s="25" t="s">
        <v>10</v>
      </c>
      <c r="B11" s="4">
        <v>2</v>
      </c>
      <c r="C11" s="1" t="s">
        <v>41</v>
      </c>
      <c r="D11" s="1">
        <v>5</v>
      </c>
      <c r="E11" s="1">
        <v>3</v>
      </c>
      <c r="F11" s="1">
        <v>3</v>
      </c>
      <c r="G11" s="1">
        <v>3</v>
      </c>
      <c r="H11" s="1" t="s">
        <v>168</v>
      </c>
      <c r="I11" s="26" t="s">
        <v>95</v>
      </c>
      <c r="J11" s="4">
        <v>2</v>
      </c>
      <c r="K11" s="1" t="s">
        <v>37</v>
      </c>
      <c r="L11" s="1">
        <v>2</v>
      </c>
      <c r="M11" s="12" t="s">
        <v>87</v>
      </c>
    </row>
    <row r="12" spans="1:13" x14ac:dyDescent="0.2">
      <c r="A12" s="25" t="s">
        <v>184</v>
      </c>
      <c r="B12" s="4">
        <v>3</v>
      </c>
      <c r="C12" s="1" t="s">
        <v>42</v>
      </c>
      <c r="D12" s="1">
        <v>3</v>
      </c>
      <c r="E12" s="1">
        <v>1</v>
      </c>
      <c r="F12" s="1">
        <v>2</v>
      </c>
      <c r="G12" s="1">
        <v>2</v>
      </c>
      <c r="H12" s="1" t="s">
        <v>167</v>
      </c>
      <c r="I12" s="26" t="s">
        <v>96</v>
      </c>
      <c r="J12" s="4">
        <v>2</v>
      </c>
      <c r="K12" s="1" t="s">
        <v>134</v>
      </c>
      <c r="L12" s="1">
        <v>3</v>
      </c>
      <c r="M12" s="12" t="s">
        <v>88</v>
      </c>
    </row>
    <row r="13" spans="1:13" x14ac:dyDescent="0.2">
      <c r="A13" s="25" t="s">
        <v>11</v>
      </c>
      <c r="B13" s="4">
        <v>8</v>
      </c>
      <c r="C13" s="1" t="s">
        <v>43</v>
      </c>
      <c r="D13" s="1">
        <v>1</v>
      </c>
      <c r="E13" s="1">
        <v>2</v>
      </c>
      <c r="F13" s="1">
        <v>1</v>
      </c>
      <c r="G13" s="1"/>
      <c r="H13" s="1" t="s">
        <v>121</v>
      </c>
      <c r="I13" s="26" t="s">
        <v>65</v>
      </c>
      <c r="J13" s="4">
        <v>4</v>
      </c>
      <c r="K13" s="1" t="s">
        <v>45</v>
      </c>
      <c r="L13" s="1">
        <v>2</v>
      </c>
      <c r="M13" s="12" t="s">
        <v>136</v>
      </c>
    </row>
    <row r="14" spans="1:13" x14ac:dyDescent="0.2">
      <c r="A14" s="3" t="s">
        <v>12</v>
      </c>
      <c r="B14" s="4">
        <v>1</v>
      </c>
      <c r="C14" s="1" t="s">
        <v>44</v>
      </c>
      <c r="D14" s="1">
        <v>4</v>
      </c>
      <c r="E14" s="1">
        <v>2</v>
      </c>
      <c r="F14" s="1">
        <v>2</v>
      </c>
      <c r="G14" s="1">
        <v>1</v>
      </c>
      <c r="H14" s="1" t="s">
        <v>122</v>
      </c>
      <c r="I14" s="26" t="s">
        <v>66</v>
      </c>
      <c r="J14" s="4">
        <v>4</v>
      </c>
      <c r="K14" s="1" t="s">
        <v>45</v>
      </c>
      <c r="L14" s="1">
        <v>3</v>
      </c>
      <c r="M14" s="12" t="s">
        <v>143</v>
      </c>
    </row>
    <row r="15" spans="1:13" x14ac:dyDescent="0.2">
      <c r="A15" s="25" t="s">
        <v>13</v>
      </c>
      <c r="B15" s="4">
        <v>2</v>
      </c>
      <c r="C15" s="1" t="s">
        <v>42</v>
      </c>
      <c r="D15" s="1">
        <v>3</v>
      </c>
      <c r="E15" s="1"/>
      <c r="F15" s="1">
        <v>2</v>
      </c>
      <c r="G15" s="1">
        <v>2</v>
      </c>
      <c r="H15" s="1" t="s">
        <v>169</v>
      </c>
      <c r="I15" s="26" t="s">
        <v>67</v>
      </c>
      <c r="J15" s="4">
        <v>2</v>
      </c>
      <c r="K15" s="1" t="s">
        <v>40</v>
      </c>
      <c r="L15" s="1">
        <v>2</v>
      </c>
      <c r="M15" s="12" t="s">
        <v>178</v>
      </c>
    </row>
    <row r="16" spans="1:13" x14ac:dyDescent="0.2">
      <c r="A16" s="25" t="s">
        <v>14</v>
      </c>
      <c r="B16" s="4">
        <v>3</v>
      </c>
      <c r="C16" s="1" t="s">
        <v>43</v>
      </c>
      <c r="D16" s="1">
        <v>1</v>
      </c>
      <c r="E16" s="1"/>
      <c r="F16" s="1">
        <v>1</v>
      </c>
      <c r="G16" s="1">
        <v>1</v>
      </c>
      <c r="H16" s="1" t="s">
        <v>123</v>
      </c>
      <c r="I16" s="26" t="s">
        <v>68</v>
      </c>
      <c r="J16" s="4">
        <v>3</v>
      </c>
      <c r="K16" s="1" t="s">
        <v>37</v>
      </c>
      <c r="L16" s="1">
        <v>2</v>
      </c>
      <c r="M16" s="12" t="s">
        <v>144</v>
      </c>
    </row>
    <row r="17" spans="1:13" x14ac:dyDescent="0.2">
      <c r="A17" s="25" t="s">
        <v>15</v>
      </c>
      <c r="B17" s="4">
        <v>3</v>
      </c>
      <c r="C17" s="1" t="s">
        <v>45</v>
      </c>
      <c r="D17" s="1">
        <v>2</v>
      </c>
      <c r="E17" s="1">
        <v>2</v>
      </c>
      <c r="F17" s="1">
        <v>1</v>
      </c>
      <c r="G17" s="1"/>
      <c r="H17" s="1" t="s">
        <v>170</v>
      </c>
      <c r="I17" s="26" t="s">
        <v>69</v>
      </c>
      <c r="J17" s="4">
        <v>3</v>
      </c>
      <c r="K17" s="1" t="s">
        <v>37</v>
      </c>
      <c r="L17" s="1">
        <v>1</v>
      </c>
      <c r="M17" s="12" t="s">
        <v>145</v>
      </c>
    </row>
    <row r="18" spans="1:13" x14ac:dyDescent="0.2">
      <c r="A18" s="3" t="s">
        <v>16</v>
      </c>
      <c r="B18" s="4">
        <v>1</v>
      </c>
      <c r="C18" s="1" t="s">
        <v>44</v>
      </c>
      <c r="D18" s="1">
        <v>4</v>
      </c>
      <c r="E18" s="1">
        <v>3</v>
      </c>
      <c r="F18" s="1">
        <v>3</v>
      </c>
      <c r="G18" s="1"/>
      <c r="H18" s="1" t="s">
        <v>171</v>
      </c>
      <c r="I18" s="26" t="s">
        <v>70</v>
      </c>
      <c r="J18" s="4">
        <v>3</v>
      </c>
      <c r="K18" s="1" t="s">
        <v>43</v>
      </c>
      <c r="L18" s="1">
        <v>2</v>
      </c>
      <c r="M18" s="12" t="s">
        <v>179</v>
      </c>
    </row>
    <row r="19" spans="1:13" x14ac:dyDescent="0.2">
      <c r="A19" s="25" t="s">
        <v>17</v>
      </c>
      <c r="B19" s="4">
        <v>2</v>
      </c>
      <c r="C19" s="1" t="s">
        <v>40</v>
      </c>
      <c r="D19" s="1">
        <v>2</v>
      </c>
      <c r="E19" s="1">
        <v>1</v>
      </c>
      <c r="F19" s="1">
        <v>1</v>
      </c>
      <c r="G19" s="1">
        <v>1</v>
      </c>
      <c r="H19" s="1" t="s">
        <v>172</v>
      </c>
      <c r="I19" s="26" t="s">
        <v>71</v>
      </c>
      <c r="J19" s="4">
        <v>3</v>
      </c>
      <c r="K19" s="1" t="s">
        <v>43</v>
      </c>
      <c r="L19" s="1">
        <v>3</v>
      </c>
      <c r="M19" s="12" t="s">
        <v>89</v>
      </c>
    </row>
    <row r="20" spans="1:13" x14ac:dyDescent="0.2">
      <c r="A20" s="25" t="s">
        <v>18</v>
      </c>
      <c r="B20" s="4">
        <v>3</v>
      </c>
      <c r="C20" s="1" t="s">
        <v>45</v>
      </c>
      <c r="D20" s="1">
        <v>2</v>
      </c>
      <c r="E20" s="1">
        <v>1</v>
      </c>
      <c r="F20" s="1">
        <v>1</v>
      </c>
      <c r="G20" s="1">
        <v>1</v>
      </c>
      <c r="H20" s="1" t="s">
        <v>124</v>
      </c>
      <c r="I20" s="26" t="s">
        <v>72</v>
      </c>
      <c r="J20" s="4">
        <v>2</v>
      </c>
      <c r="K20" s="1" t="s">
        <v>39</v>
      </c>
      <c r="L20" s="1">
        <v>1</v>
      </c>
      <c r="M20" s="12" t="s">
        <v>164</v>
      </c>
    </row>
    <row r="21" spans="1:13" x14ac:dyDescent="0.2">
      <c r="A21" s="25" t="s">
        <v>19</v>
      </c>
      <c r="B21" s="4">
        <v>2</v>
      </c>
      <c r="C21" s="1" t="s">
        <v>37</v>
      </c>
      <c r="D21" s="1">
        <v>1</v>
      </c>
      <c r="E21" s="1">
        <v>1</v>
      </c>
      <c r="F21" s="1">
        <v>1</v>
      </c>
      <c r="G21" s="1">
        <v>1</v>
      </c>
      <c r="H21" s="1" t="s">
        <v>125</v>
      </c>
      <c r="I21" s="26" t="s">
        <v>97</v>
      </c>
      <c r="J21" s="4">
        <v>2</v>
      </c>
      <c r="K21" s="1" t="s">
        <v>38</v>
      </c>
      <c r="L21" s="1">
        <v>5</v>
      </c>
      <c r="M21" s="12" t="s">
        <v>146</v>
      </c>
    </row>
    <row r="22" spans="1:13" x14ac:dyDescent="0.2">
      <c r="A22" s="25" t="s">
        <v>20</v>
      </c>
      <c r="B22" s="4">
        <v>2</v>
      </c>
      <c r="C22" s="1" t="s">
        <v>38</v>
      </c>
      <c r="D22" s="1">
        <v>4</v>
      </c>
      <c r="E22" s="1">
        <v>2</v>
      </c>
      <c r="F22" s="1">
        <v>3</v>
      </c>
      <c r="G22" s="1">
        <v>3</v>
      </c>
      <c r="H22" s="1" t="s">
        <v>51</v>
      </c>
      <c r="I22" s="21" t="s">
        <v>73</v>
      </c>
      <c r="J22" s="4">
        <v>1</v>
      </c>
      <c r="K22" s="1" t="s">
        <v>86</v>
      </c>
      <c r="L22" s="1">
        <v>6</v>
      </c>
      <c r="M22" s="12" t="s">
        <v>147</v>
      </c>
    </row>
    <row r="23" spans="1:13" x14ac:dyDescent="0.2">
      <c r="A23" s="25" t="s">
        <v>21</v>
      </c>
      <c r="B23" s="4">
        <v>3</v>
      </c>
      <c r="C23" s="1" t="s">
        <v>45</v>
      </c>
      <c r="D23" s="1">
        <v>2</v>
      </c>
      <c r="E23" s="1">
        <v>1</v>
      </c>
      <c r="F23" s="1">
        <v>2</v>
      </c>
      <c r="G23" s="1"/>
      <c r="H23" s="1" t="s">
        <v>173</v>
      </c>
      <c r="I23" s="26" t="s">
        <v>74</v>
      </c>
      <c r="J23" s="4">
        <v>3</v>
      </c>
      <c r="K23" s="1" t="s">
        <v>46</v>
      </c>
      <c r="L23" s="1">
        <v>2</v>
      </c>
      <c r="M23" s="12" t="s">
        <v>148</v>
      </c>
    </row>
    <row r="24" spans="1:13" x14ac:dyDescent="0.2">
      <c r="A24" s="25" t="s">
        <v>22</v>
      </c>
      <c r="B24" s="4">
        <v>3</v>
      </c>
      <c r="C24" s="1" t="s">
        <v>43</v>
      </c>
      <c r="D24" s="1">
        <v>1</v>
      </c>
      <c r="E24" s="1"/>
      <c r="F24" s="1">
        <v>1</v>
      </c>
      <c r="G24" s="1">
        <v>1</v>
      </c>
      <c r="H24" s="1" t="s">
        <v>126</v>
      </c>
      <c r="I24" s="21" t="s">
        <v>75</v>
      </c>
      <c r="J24" s="4">
        <v>1</v>
      </c>
      <c r="K24" s="1" t="s">
        <v>44</v>
      </c>
      <c r="L24" s="1">
        <v>4</v>
      </c>
      <c r="M24" s="12" t="s">
        <v>146</v>
      </c>
    </row>
    <row r="25" spans="1:13" x14ac:dyDescent="0.2">
      <c r="A25" s="25" t="s">
        <v>23</v>
      </c>
      <c r="B25" s="4">
        <v>3</v>
      </c>
      <c r="C25" s="1" t="s">
        <v>46</v>
      </c>
      <c r="D25" s="1">
        <v>0</v>
      </c>
      <c r="E25" s="1"/>
      <c r="F25" s="1"/>
      <c r="G25" s="1"/>
      <c r="H25" s="1" t="s">
        <v>52</v>
      </c>
      <c r="I25" s="26" t="s">
        <v>92</v>
      </c>
      <c r="J25" s="4">
        <v>3</v>
      </c>
      <c r="K25" s="1" t="s">
        <v>45</v>
      </c>
      <c r="L25" s="1">
        <v>3</v>
      </c>
      <c r="M25" s="12" t="s">
        <v>149</v>
      </c>
    </row>
    <row r="26" spans="1:13" x14ac:dyDescent="0.2">
      <c r="A26" s="3" t="s">
        <v>24</v>
      </c>
      <c r="B26" s="4">
        <v>1</v>
      </c>
      <c r="C26" s="1" t="s">
        <v>47</v>
      </c>
      <c r="D26" s="1">
        <v>2</v>
      </c>
      <c r="E26" s="1"/>
      <c r="F26" s="1"/>
      <c r="G26" s="1">
        <v>1</v>
      </c>
      <c r="H26" s="1" t="s">
        <v>53</v>
      </c>
      <c r="I26" s="26" t="s">
        <v>76</v>
      </c>
      <c r="J26" s="4">
        <v>3</v>
      </c>
      <c r="K26" s="1" t="s">
        <v>43</v>
      </c>
      <c r="L26" s="1">
        <v>2</v>
      </c>
      <c r="M26" s="12" t="s">
        <v>150</v>
      </c>
    </row>
    <row r="27" spans="1:13" x14ac:dyDescent="0.2">
      <c r="A27" s="25" t="s">
        <v>25</v>
      </c>
      <c r="B27" s="4">
        <v>2</v>
      </c>
      <c r="C27" s="1" t="s">
        <v>40</v>
      </c>
      <c r="D27" s="1">
        <v>2</v>
      </c>
      <c r="E27" s="1">
        <v>2</v>
      </c>
      <c r="F27" s="1">
        <v>2</v>
      </c>
      <c r="G27" s="1"/>
      <c r="H27" s="1" t="s">
        <v>54</v>
      </c>
      <c r="I27" s="26" t="s">
        <v>91</v>
      </c>
      <c r="J27" s="4">
        <v>3</v>
      </c>
      <c r="K27" s="1" t="s">
        <v>45</v>
      </c>
      <c r="L27" s="1">
        <v>2</v>
      </c>
      <c r="M27" s="12" t="s">
        <v>151</v>
      </c>
    </row>
    <row r="28" spans="1:13" x14ac:dyDescent="0.2">
      <c r="A28" s="25" t="s">
        <v>26</v>
      </c>
      <c r="B28" s="4">
        <v>3</v>
      </c>
      <c r="C28" s="1" t="s">
        <v>45</v>
      </c>
      <c r="D28" s="1">
        <v>2</v>
      </c>
      <c r="E28" s="1">
        <v>1</v>
      </c>
      <c r="F28" s="1">
        <v>1</v>
      </c>
      <c r="G28" s="1">
        <v>1</v>
      </c>
      <c r="H28" s="1" t="s">
        <v>174</v>
      </c>
      <c r="I28" s="21" t="s">
        <v>93</v>
      </c>
      <c r="J28" s="4">
        <v>1</v>
      </c>
      <c r="K28" s="1" t="s">
        <v>44</v>
      </c>
      <c r="L28" s="1">
        <v>4</v>
      </c>
      <c r="M28" s="12" t="s">
        <v>152</v>
      </c>
    </row>
    <row r="29" spans="1:13" x14ac:dyDescent="0.2">
      <c r="A29" s="25" t="s">
        <v>27</v>
      </c>
      <c r="B29" s="4">
        <v>3</v>
      </c>
      <c r="C29" s="1" t="s">
        <v>45</v>
      </c>
      <c r="D29" s="1">
        <v>2</v>
      </c>
      <c r="E29" s="1">
        <v>1</v>
      </c>
      <c r="F29" s="1">
        <v>1</v>
      </c>
      <c r="G29" s="1">
        <v>1</v>
      </c>
      <c r="H29" s="1" t="s">
        <v>128</v>
      </c>
      <c r="I29" s="26" t="s">
        <v>77</v>
      </c>
      <c r="J29" s="4">
        <v>3</v>
      </c>
      <c r="K29" s="1" t="s">
        <v>45</v>
      </c>
      <c r="L29" s="1">
        <v>2</v>
      </c>
      <c r="M29" s="12" t="s">
        <v>153</v>
      </c>
    </row>
    <row r="30" spans="1:13" x14ac:dyDescent="0.2">
      <c r="A30" s="25" t="s">
        <v>28</v>
      </c>
      <c r="B30" s="4">
        <v>2</v>
      </c>
      <c r="C30" s="1" t="s">
        <v>42</v>
      </c>
      <c r="D30" s="1">
        <v>3</v>
      </c>
      <c r="E30" s="1">
        <v>3</v>
      </c>
      <c r="F30" s="1">
        <v>1</v>
      </c>
      <c r="G30" s="1">
        <v>1</v>
      </c>
      <c r="H30" s="1" t="s">
        <v>129</v>
      </c>
      <c r="I30" s="26" t="s">
        <v>78</v>
      </c>
      <c r="J30" s="4">
        <v>3</v>
      </c>
      <c r="K30" s="1" t="s">
        <v>45</v>
      </c>
      <c r="L30" s="1">
        <v>2</v>
      </c>
      <c r="M30" s="12" t="s">
        <v>154</v>
      </c>
    </row>
    <row r="31" spans="1:13" x14ac:dyDescent="0.2">
      <c r="A31" s="3" t="s">
        <v>29</v>
      </c>
      <c r="B31" s="4">
        <v>1</v>
      </c>
      <c r="C31" s="1" t="s">
        <v>44</v>
      </c>
      <c r="D31" s="1">
        <v>4</v>
      </c>
      <c r="E31" s="1">
        <v>3</v>
      </c>
      <c r="F31" s="1">
        <v>3</v>
      </c>
      <c r="G31" s="1">
        <v>2</v>
      </c>
      <c r="H31" s="1" t="s">
        <v>55</v>
      </c>
      <c r="I31" s="26" t="s">
        <v>79</v>
      </c>
      <c r="J31" s="4">
        <v>2</v>
      </c>
      <c r="K31" s="1" t="s">
        <v>39</v>
      </c>
      <c r="L31" s="1">
        <v>3</v>
      </c>
      <c r="M31" s="12" t="s">
        <v>180</v>
      </c>
    </row>
    <row r="32" spans="1:13" ht="17" thickBot="1" x14ac:dyDescent="0.25">
      <c r="A32" s="25" t="s">
        <v>30</v>
      </c>
      <c r="B32" s="4">
        <v>3</v>
      </c>
      <c r="C32" s="1" t="s">
        <v>43</v>
      </c>
      <c r="D32" s="1">
        <v>1</v>
      </c>
      <c r="E32" s="1">
        <v>1</v>
      </c>
      <c r="F32" s="1"/>
      <c r="G32" s="1">
        <v>1</v>
      </c>
      <c r="H32" s="1" t="s">
        <v>130</v>
      </c>
      <c r="I32" s="26" t="s">
        <v>80</v>
      </c>
      <c r="J32" s="4">
        <v>3</v>
      </c>
      <c r="K32" s="1" t="s">
        <v>43</v>
      </c>
      <c r="L32" s="1">
        <v>2</v>
      </c>
      <c r="M32" s="12" t="s">
        <v>155</v>
      </c>
    </row>
    <row r="33" spans="1:13" ht="17" thickBot="1" x14ac:dyDescent="0.25">
      <c r="A33" s="25" t="s">
        <v>31</v>
      </c>
      <c r="B33" s="4">
        <v>2</v>
      </c>
      <c r="C33" s="1" t="s">
        <v>42</v>
      </c>
      <c r="D33" s="1">
        <v>3</v>
      </c>
      <c r="E33" s="1"/>
      <c r="F33" s="1">
        <v>1</v>
      </c>
      <c r="G33" s="1">
        <v>2</v>
      </c>
      <c r="H33" s="1" t="s">
        <v>175</v>
      </c>
      <c r="I33" s="27" t="s">
        <v>81</v>
      </c>
      <c r="J33" s="8">
        <v>2</v>
      </c>
      <c r="K33" s="9" t="s">
        <v>38</v>
      </c>
      <c r="L33" s="9">
        <v>4</v>
      </c>
      <c r="M33" s="10" t="s">
        <v>156</v>
      </c>
    </row>
    <row r="34" spans="1:13" x14ac:dyDescent="0.2">
      <c r="A34" s="7" t="s">
        <v>32</v>
      </c>
      <c r="B34" s="8">
        <v>2</v>
      </c>
      <c r="C34" s="9" t="s">
        <v>37</v>
      </c>
      <c r="D34" s="9">
        <v>1</v>
      </c>
      <c r="E34" s="9">
        <v>2</v>
      </c>
      <c r="F34" s="9"/>
      <c r="G34" s="9">
        <v>1</v>
      </c>
      <c r="H34" s="9" t="s">
        <v>131</v>
      </c>
      <c r="I34" s="20" t="s">
        <v>82</v>
      </c>
      <c r="J34" s="4">
        <v>3</v>
      </c>
      <c r="K34" s="1" t="s">
        <v>46</v>
      </c>
      <c r="L34" s="1">
        <v>2</v>
      </c>
      <c r="M34" s="12" t="s">
        <v>181</v>
      </c>
    </row>
    <row r="35" spans="1:13" x14ac:dyDescent="0.2">
      <c r="A35" s="11" t="s">
        <v>33</v>
      </c>
      <c r="B35" s="4">
        <v>3</v>
      </c>
      <c r="C35" s="1" t="s">
        <v>40</v>
      </c>
      <c r="D35" s="1">
        <v>2</v>
      </c>
      <c r="E35" s="1">
        <v>2</v>
      </c>
      <c r="F35" s="1">
        <v>2</v>
      </c>
      <c r="G35" s="1"/>
      <c r="H35" s="1" t="s">
        <v>132</v>
      </c>
      <c r="I35" s="20" t="s">
        <v>83</v>
      </c>
      <c r="J35" s="4">
        <v>2</v>
      </c>
      <c r="K35" s="1" t="s">
        <v>37</v>
      </c>
      <c r="L35" s="1">
        <v>3</v>
      </c>
      <c r="M35" s="12" t="s">
        <v>165</v>
      </c>
    </row>
    <row r="36" spans="1:13" ht="17" thickBot="1" x14ac:dyDescent="0.25">
      <c r="A36" s="11" t="s">
        <v>34</v>
      </c>
      <c r="B36" s="4">
        <v>2</v>
      </c>
      <c r="C36" s="1" t="s">
        <v>42</v>
      </c>
      <c r="D36" s="1">
        <v>3</v>
      </c>
      <c r="E36" s="1">
        <v>3</v>
      </c>
      <c r="F36" s="1">
        <v>1</v>
      </c>
      <c r="G36" s="1">
        <v>1</v>
      </c>
      <c r="H36" s="1" t="s">
        <v>133</v>
      </c>
      <c r="I36" s="22" t="s">
        <v>84</v>
      </c>
      <c r="J36" s="14">
        <v>2</v>
      </c>
      <c r="K36" s="15" t="s">
        <v>40</v>
      </c>
      <c r="L36" s="15">
        <v>4</v>
      </c>
      <c r="M36" s="23" t="s">
        <v>157</v>
      </c>
    </row>
    <row r="37" spans="1:13" ht="17" thickBot="1" x14ac:dyDescent="0.25">
      <c r="A37" s="13" t="s">
        <v>35</v>
      </c>
      <c r="B37" s="14">
        <v>3</v>
      </c>
      <c r="C37" s="15" t="s">
        <v>46</v>
      </c>
      <c r="D37" s="15">
        <v>0</v>
      </c>
      <c r="E37" s="15"/>
      <c r="F37" s="15"/>
      <c r="G37" s="15"/>
      <c r="H37" s="15" t="s">
        <v>176</v>
      </c>
      <c r="I37" s="20" t="s">
        <v>85</v>
      </c>
      <c r="J37" s="4">
        <v>3</v>
      </c>
      <c r="K37" s="1" t="s">
        <v>43</v>
      </c>
      <c r="L37" s="1">
        <v>3</v>
      </c>
      <c r="M37" s="12" t="s">
        <v>182</v>
      </c>
    </row>
    <row r="38" spans="1:13" x14ac:dyDescent="0.2">
      <c r="A38" s="1"/>
      <c r="B38" s="1"/>
      <c r="C38" s="1"/>
      <c r="D38" s="1"/>
      <c r="E38" s="1"/>
      <c r="F38" s="1"/>
      <c r="G38" s="1"/>
      <c r="H38" s="1"/>
      <c r="I38" s="20" t="s">
        <v>90</v>
      </c>
      <c r="J38" s="4">
        <v>1</v>
      </c>
      <c r="K38" s="1" t="s">
        <v>39</v>
      </c>
      <c r="L38" s="1">
        <v>3</v>
      </c>
      <c r="M38" s="12" t="s">
        <v>158</v>
      </c>
    </row>
    <row r="39" spans="1:13" x14ac:dyDescent="0.2">
      <c r="A39" s="1">
        <f>SUM(B2:B37)+SUM(J2:J40)</f>
        <v>176</v>
      </c>
      <c r="B39" s="1"/>
      <c r="C39" s="1"/>
      <c r="D39" s="1"/>
      <c r="E39" s="1"/>
      <c r="F39" s="1"/>
      <c r="G39" s="1"/>
      <c r="H39" s="1"/>
      <c r="I39" s="20" t="s">
        <v>99</v>
      </c>
      <c r="J39" s="4">
        <v>1</v>
      </c>
      <c r="K39" s="1" t="s">
        <v>39</v>
      </c>
      <c r="L39" s="1">
        <v>2</v>
      </c>
      <c r="M39" s="12" t="s">
        <v>159</v>
      </c>
    </row>
    <row r="40" spans="1:13" ht="17" thickBot="1" x14ac:dyDescent="0.25">
      <c r="A40" s="1"/>
      <c r="B40" s="1"/>
      <c r="C40" s="1"/>
      <c r="D40" s="1"/>
      <c r="E40" s="1"/>
      <c r="F40" s="1"/>
      <c r="G40" s="1"/>
      <c r="H40" s="1"/>
      <c r="I40" s="22" t="s">
        <v>98</v>
      </c>
      <c r="J40" s="14">
        <v>1</v>
      </c>
      <c r="K40" s="15" t="s">
        <v>40</v>
      </c>
      <c r="L40" s="15">
        <v>4</v>
      </c>
      <c r="M40" s="23" t="s">
        <v>160</v>
      </c>
    </row>
    <row r="41" spans="1:13" x14ac:dyDescent="0.2">
      <c r="A41" s="1"/>
      <c r="B41" s="1"/>
      <c r="C41" s="1"/>
      <c r="D41" s="1"/>
      <c r="E41" s="1"/>
      <c r="F41" s="1"/>
      <c r="G41" s="1"/>
      <c r="H41" s="1"/>
    </row>
    <row r="42" spans="1:13" x14ac:dyDescent="0.2">
      <c r="A42" t="s">
        <v>100</v>
      </c>
    </row>
    <row r="43" spans="1:13" x14ac:dyDescent="0.2">
      <c r="A43" t="s">
        <v>105</v>
      </c>
      <c r="B43" t="s">
        <v>101</v>
      </c>
    </row>
    <row r="44" spans="1:13" x14ac:dyDescent="0.2">
      <c r="A44" t="s">
        <v>106</v>
      </c>
      <c r="B44" t="s">
        <v>102</v>
      </c>
    </row>
    <row r="45" spans="1:13" x14ac:dyDescent="0.2">
      <c r="A45" t="s">
        <v>107</v>
      </c>
      <c r="B45" t="s">
        <v>103</v>
      </c>
    </row>
    <row r="46" spans="1:13" x14ac:dyDescent="0.2">
      <c r="A46" t="s">
        <v>108</v>
      </c>
      <c r="B46" t="s">
        <v>104</v>
      </c>
    </row>
    <row r="47" spans="1:13" x14ac:dyDescent="0.2">
      <c r="A47" t="s">
        <v>115</v>
      </c>
      <c r="B47" t="s">
        <v>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A6EE-45E8-9F47-992B-70BC0825BC02}">
  <dimension ref="A1:Z41"/>
  <sheetViews>
    <sheetView tabSelected="1" zoomScale="184" workbookViewId="0">
      <pane ySplit="1" topLeftCell="A25" activePane="bottomLeft" state="frozen"/>
      <selection pane="bottomLeft" activeCell="J31" sqref="J31"/>
    </sheetView>
  </sheetViews>
  <sheetFormatPr baseColWidth="10" defaultRowHeight="16" x14ac:dyDescent="0.2"/>
  <cols>
    <col min="1" max="1" width="17.5" bestFit="1" customWidth="1"/>
    <col min="2" max="2" width="5.1640625" customWidth="1"/>
    <col min="3" max="3" width="14.5" bestFit="1" customWidth="1"/>
    <col min="4" max="4" width="7.1640625" bestFit="1" customWidth="1"/>
    <col min="5" max="5" width="11.33203125" bestFit="1" customWidth="1"/>
    <col min="6" max="6" width="12.5" bestFit="1" customWidth="1"/>
    <col min="7" max="7" width="13.6640625" bestFit="1" customWidth="1"/>
    <col min="8" max="8" width="44.6640625" customWidth="1"/>
    <col min="9" max="9" width="8.33203125" bestFit="1" customWidth="1"/>
    <col min="10" max="10" width="11.5" bestFit="1" customWidth="1"/>
    <col min="11" max="11" width="15" bestFit="1" customWidth="1"/>
    <col min="12" max="12" width="8.6640625" bestFit="1" customWidth="1"/>
    <col min="13" max="13" width="20.5" bestFit="1" customWidth="1"/>
    <col min="14" max="14" width="14.5" bestFit="1" customWidth="1"/>
    <col min="15" max="15" width="19.5" bestFit="1" customWidth="1"/>
    <col min="16" max="16" width="5" customWidth="1"/>
    <col min="17" max="17" width="14.5" bestFit="1" customWidth="1"/>
    <col min="18" max="18" width="14.5" customWidth="1"/>
    <col min="19" max="19" width="12.1640625" bestFit="1" customWidth="1"/>
    <col min="20" max="20" width="51" bestFit="1" customWidth="1"/>
    <col min="21" max="21" width="8.33203125" bestFit="1" customWidth="1"/>
    <col min="22" max="22" width="11.5" bestFit="1" customWidth="1"/>
    <col min="23" max="23" width="15" bestFit="1" customWidth="1"/>
    <col min="24" max="24" width="8.6640625" bestFit="1" customWidth="1"/>
    <col min="25" max="25" width="20.5" bestFit="1" customWidth="1"/>
    <col min="26" max="26" width="14.5" bestFit="1" customWidth="1"/>
  </cols>
  <sheetData>
    <row r="1" spans="1:26" ht="19" x14ac:dyDescent="0.25">
      <c r="A1" s="28" t="s">
        <v>0</v>
      </c>
      <c r="B1" s="28" t="s">
        <v>113</v>
      </c>
      <c r="C1" s="28" t="s">
        <v>36</v>
      </c>
      <c r="D1" s="28" t="s">
        <v>183</v>
      </c>
      <c r="E1" s="29" t="s">
        <v>110</v>
      </c>
      <c r="F1" s="29" t="s">
        <v>111</v>
      </c>
      <c r="G1" s="29" t="s">
        <v>112</v>
      </c>
      <c r="H1" s="28" t="s">
        <v>48</v>
      </c>
      <c r="I1" s="28" t="s">
        <v>232</v>
      </c>
      <c r="J1" s="28" t="s">
        <v>236</v>
      </c>
      <c r="K1" s="38" t="s">
        <v>238</v>
      </c>
      <c r="L1" s="28" t="s">
        <v>233</v>
      </c>
      <c r="M1" s="28" t="s">
        <v>237</v>
      </c>
      <c r="N1" s="28" t="s">
        <v>234</v>
      </c>
      <c r="O1" s="28" t="s">
        <v>56</v>
      </c>
      <c r="P1" s="28" t="s">
        <v>113</v>
      </c>
      <c r="Q1" s="28" t="s">
        <v>187</v>
      </c>
      <c r="R1" s="28" t="s">
        <v>183</v>
      </c>
      <c r="S1" s="29" t="s">
        <v>109</v>
      </c>
      <c r="T1" s="28" t="s">
        <v>48</v>
      </c>
      <c r="U1" s="28" t="s">
        <v>232</v>
      </c>
      <c r="V1" s="38" t="s">
        <v>236</v>
      </c>
      <c r="W1" s="38" t="s">
        <v>238</v>
      </c>
      <c r="X1" s="28" t="s">
        <v>233</v>
      </c>
      <c r="Y1" s="28" t="s">
        <v>237</v>
      </c>
      <c r="Z1" s="28" t="s">
        <v>234</v>
      </c>
    </row>
    <row r="2" spans="1:26" ht="34" x14ac:dyDescent="0.2">
      <c r="A2" s="30" t="s">
        <v>2</v>
      </c>
      <c r="B2" s="31">
        <v>2</v>
      </c>
      <c r="C2" s="32" t="s">
        <v>185</v>
      </c>
      <c r="D2" s="32">
        <v>4</v>
      </c>
      <c r="E2" s="32">
        <v>2</v>
      </c>
      <c r="F2" s="32">
        <v>3</v>
      </c>
      <c r="G2" s="32">
        <v>2</v>
      </c>
      <c r="H2" s="37" t="s">
        <v>189</v>
      </c>
      <c r="I2" s="37"/>
      <c r="J2" s="37"/>
      <c r="K2" s="37"/>
      <c r="L2" s="37"/>
      <c r="M2" s="37"/>
      <c r="N2" s="40" t="s">
        <v>235</v>
      </c>
      <c r="O2" s="30" t="s">
        <v>64</v>
      </c>
      <c r="P2" s="31">
        <v>2</v>
      </c>
      <c r="Q2" s="32" t="s">
        <v>185</v>
      </c>
      <c r="R2" s="32">
        <v>2</v>
      </c>
      <c r="S2" s="32">
        <v>4</v>
      </c>
      <c r="T2" s="37" t="s">
        <v>211</v>
      </c>
      <c r="Z2" s="41" t="s">
        <v>235</v>
      </c>
    </row>
    <row r="3" spans="1:26" ht="119" x14ac:dyDescent="0.2">
      <c r="A3" s="30" t="s">
        <v>3</v>
      </c>
      <c r="B3" s="31">
        <v>2</v>
      </c>
      <c r="C3" s="32" t="s">
        <v>185</v>
      </c>
      <c r="D3" s="32">
        <v>0</v>
      </c>
      <c r="E3" s="32"/>
      <c r="F3" s="32"/>
      <c r="G3" s="32">
        <v>2</v>
      </c>
      <c r="H3" s="37" t="s">
        <v>190</v>
      </c>
      <c r="I3" s="37"/>
      <c r="J3" s="37" t="s">
        <v>235</v>
      </c>
      <c r="K3" s="37"/>
      <c r="L3" s="37"/>
      <c r="M3" s="37"/>
      <c r="N3" s="37"/>
      <c r="O3" s="30" t="s">
        <v>79</v>
      </c>
      <c r="P3" s="31">
        <v>2</v>
      </c>
      <c r="Q3" s="32" t="s">
        <v>185</v>
      </c>
      <c r="R3" s="32">
        <v>0</v>
      </c>
      <c r="S3" s="32">
        <v>3</v>
      </c>
      <c r="T3" s="37" t="s">
        <v>212</v>
      </c>
      <c r="U3" t="s">
        <v>235</v>
      </c>
    </row>
    <row r="4" spans="1:26" ht="51" x14ac:dyDescent="0.2">
      <c r="A4" s="30" t="s">
        <v>4</v>
      </c>
      <c r="B4" s="31">
        <v>2</v>
      </c>
      <c r="C4" s="32" t="s">
        <v>185</v>
      </c>
      <c r="D4" s="32">
        <v>2</v>
      </c>
      <c r="E4" s="32">
        <v>2</v>
      </c>
      <c r="F4" s="32">
        <v>1</v>
      </c>
      <c r="G4" s="32">
        <v>1</v>
      </c>
      <c r="H4" s="37" t="s">
        <v>191</v>
      </c>
      <c r="I4" s="37"/>
      <c r="J4" s="37" t="s">
        <v>235</v>
      </c>
      <c r="K4" s="37"/>
      <c r="L4" s="37"/>
      <c r="M4" s="37"/>
      <c r="N4" s="37"/>
      <c r="O4" s="30" t="s">
        <v>80</v>
      </c>
      <c r="P4" s="31">
        <v>3</v>
      </c>
      <c r="Q4" s="24" t="s">
        <v>186</v>
      </c>
      <c r="R4" s="32">
        <v>1</v>
      </c>
      <c r="S4" s="32">
        <v>2</v>
      </c>
      <c r="T4" s="37" t="s">
        <v>213</v>
      </c>
      <c r="U4" s="41" t="s">
        <v>235</v>
      </c>
      <c r="X4" s="41" t="s">
        <v>235</v>
      </c>
    </row>
    <row r="5" spans="1:26" ht="136" x14ac:dyDescent="0.2">
      <c r="A5" s="30" t="s">
        <v>5</v>
      </c>
      <c r="B5" s="31">
        <v>3</v>
      </c>
      <c r="C5" s="32" t="s">
        <v>185</v>
      </c>
      <c r="D5" s="32">
        <v>0</v>
      </c>
      <c r="E5" s="32">
        <v>3</v>
      </c>
      <c r="F5" s="32"/>
      <c r="G5" s="32">
        <v>1</v>
      </c>
      <c r="H5" s="37" t="s">
        <v>192</v>
      </c>
      <c r="I5" s="37" t="s">
        <v>235</v>
      </c>
      <c r="J5" s="37"/>
      <c r="K5" s="37"/>
      <c r="L5" s="37"/>
      <c r="M5" s="37" t="s">
        <v>235</v>
      </c>
      <c r="N5" s="37"/>
      <c r="O5" s="30" t="s">
        <v>92</v>
      </c>
      <c r="P5" s="31">
        <v>3</v>
      </c>
      <c r="Q5" s="24" t="s">
        <v>186</v>
      </c>
      <c r="R5" s="32">
        <v>2</v>
      </c>
      <c r="S5" s="32">
        <v>3</v>
      </c>
      <c r="T5" s="37" t="s">
        <v>214</v>
      </c>
      <c r="U5" t="s">
        <v>235</v>
      </c>
      <c r="X5" t="s">
        <v>235</v>
      </c>
    </row>
    <row r="6" spans="1:26" ht="51" x14ac:dyDescent="0.2">
      <c r="A6" s="30" t="s">
        <v>6</v>
      </c>
      <c r="B6" s="31">
        <v>2</v>
      </c>
      <c r="C6" s="32" t="s">
        <v>185</v>
      </c>
      <c r="D6" s="32">
        <v>2</v>
      </c>
      <c r="E6" s="32">
        <v>1</v>
      </c>
      <c r="F6" s="32">
        <v>1</v>
      </c>
      <c r="G6" s="32">
        <v>2</v>
      </c>
      <c r="H6" s="37" t="s">
        <v>193</v>
      </c>
      <c r="I6" s="37"/>
      <c r="J6" s="37"/>
      <c r="K6" s="37" t="s">
        <v>235</v>
      </c>
      <c r="L6" s="37"/>
      <c r="M6" s="37"/>
      <c r="N6" s="37"/>
      <c r="O6" s="30" t="s">
        <v>81</v>
      </c>
      <c r="P6" s="31">
        <v>2</v>
      </c>
      <c r="Q6" s="32" t="s">
        <v>185</v>
      </c>
      <c r="R6" s="32">
        <v>4</v>
      </c>
      <c r="S6" s="32">
        <v>4</v>
      </c>
      <c r="T6" s="37" t="s">
        <v>215</v>
      </c>
      <c r="U6" t="s">
        <v>235</v>
      </c>
      <c r="X6" t="s">
        <v>235</v>
      </c>
    </row>
    <row r="7" spans="1:26" ht="136" x14ac:dyDescent="0.2">
      <c r="A7" s="30" t="s">
        <v>7</v>
      </c>
      <c r="B7" s="31">
        <v>3</v>
      </c>
      <c r="C7" s="32" t="s">
        <v>185</v>
      </c>
      <c r="D7" s="32">
        <v>1</v>
      </c>
      <c r="E7" s="32"/>
      <c r="F7" s="32"/>
      <c r="G7" s="32">
        <v>1</v>
      </c>
      <c r="H7" s="37" t="s">
        <v>194</v>
      </c>
      <c r="I7" s="37"/>
      <c r="J7" s="37"/>
      <c r="K7" s="37" t="s">
        <v>235</v>
      </c>
      <c r="L7" s="37"/>
      <c r="M7" s="37"/>
      <c r="N7" s="37"/>
      <c r="O7" s="30" t="s">
        <v>96</v>
      </c>
      <c r="P7" s="31">
        <v>2</v>
      </c>
      <c r="Q7" s="32" t="s">
        <v>185</v>
      </c>
      <c r="R7" s="32">
        <v>-2</v>
      </c>
      <c r="S7" s="32">
        <v>3</v>
      </c>
      <c r="T7" s="37" t="s">
        <v>241</v>
      </c>
      <c r="U7" s="41" t="s">
        <v>235</v>
      </c>
    </row>
    <row r="8" spans="1:26" ht="221" x14ac:dyDescent="0.2">
      <c r="A8" s="30" t="s">
        <v>9</v>
      </c>
      <c r="B8" s="31">
        <v>2</v>
      </c>
      <c r="C8" s="32" t="s">
        <v>185</v>
      </c>
      <c r="D8" s="32">
        <v>0</v>
      </c>
      <c r="E8" s="32"/>
      <c r="F8" s="32">
        <v>1</v>
      </c>
      <c r="G8" s="32">
        <v>2</v>
      </c>
      <c r="H8" s="37" t="s">
        <v>195</v>
      </c>
      <c r="I8" s="37"/>
      <c r="J8" s="37"/>
      <c r="K8" s="37" t="s">
        <v>235</v>
      </c>
      <c r="L8" s="37"/>
      <c r="M8" s="37"/>
      <c r="N8" s="37"/>
      <c r="O8" s="30" t="s">
        <v>61</v>
      </c>
      <c r="P8" s="31">
        <v>3</v>
      </c>
      <c r="Q8" s="32" t="s">
        <v>185</v>
      </c>
      <c r="R8" s="32">
        <v>1</v>
      </c>
      <c r="S8" s="32">
        <v>2</v>
      </c>
      <c r="T8" s="37" t="s">
        <v>216</v>
      </c>
      <c r="W8" s="41" t="s">
        <v>235</v>
      </c>
    </row>
    <row r="9" spans="1:26" ht="102" x14ac:dyDescent="0.2">
      <c r="A9" s="30" t="s">
        <v>10</v>
      </c>
      <c r="B9" s="31">
        <v>2</v>
      </c>
      <c r="C9" s="32" t="s">
        <v>185</v>
      </c>
      <c r="D9" s="32">
        <v>5</v>
      </c>
      <c r="E9" s="32">
        <v>3</v>
      </c>
      <c r="F9" s="32">
        <v>3</v>
      </c>
      <c r="G9" s="32">
        <v>3</v>
      </c>
      <c r="H9" s="37" t="s">
        <v>196</v>
      </c>
      <c r="I9" s="37"/>
      <c r="J9" s="37"/>
      <c r="K9" s="37"/>
      <c r="L9" s="37"/>
      <c r="M9" s="37"/>
      <c r="N9" s="39" t="s">
        <v>235</v>
      </c>
      <c r="O9" s="30" t="s">
        <v>66</v>
      </c>
      <c r="P9" s="31">
        <v>4</v>
      </c>
      <c r="Q9" s="32" t="s">
        <v>186</v>
      </c>
      <c r="R9" s="32">
        <v>2</v>
      </c>
      <c r="S9" s="32">
        <v>3</v>
      </c>
      <c r="T9" s="37" t="s">
        <v>217</v>
      </c>
      <c r="U9" t="s">
        <v>235</v>
      </c>
      <c r="X9" t="s">
        <v>235</v>
      </c>
    </row>
    <row r="10" spans="1:26" ht="119" x14ac:dyDescent="0.2">
      <c r="A10" s="30" t="s">
        <v>184</v>
      </c>
      <c r="B10" s="31">
        <v>3</v>
      </c>
      <c r="C10" s="32" t="s">
        <v>185</v>
      </c>
      <c r="D10" s="32">
        <v>3</v>
      </c>
      <c r="E10" s="32">
        <v>1</v>
      </c>
      <c r="F10" s="32">
        <v>2</v>
      </c>
      <c r="G10" s="32">
        <v>2</v>
      </c>
      <c r="H10" s="37" t="s">
        <v>197</v>
      </c>
      <c r="I10" s="37" t="s">
        <v>235</v>
      </c>
      <c r="J10" s="37"/>
      <c r="K10" s="37"/>
      <c r="L10" s="37"/>
      <c r="M10" s="37"/>
      <c r="N10" s="37"/>
      <c r="O10" s="30" t="s">
        <v>69</v>
      </c>
      <c r="P10" s="31">
        <v>3</v>
      </c>
      <c r="Q10" s="32" t="s">
        <v>185</v>
      </c>
      <c r="R10" s="32">
        <v>1</v>
      </c>
      <c r="S10" s="32">
        <v>1</v>
      </c>
      <c r="T10" s="37" t="s">
        <v>218</v>
      </c>
      <c r="W10" t="s">
        <v>235</v>
      </c>
    </row>
    <row r="11" spans="1:26" ht="68" x14ac:dyDescent="0.2">
      <c r="A11" s="30" t="s">
        <v>11</v>
      </c>
      <c r="B11" s="35">
        <v>8</v>
      </c>
      <c r="C11" s="32" t="s">
        <v>186</v>
      </c>
      <c r="D11" s="32">
        <v>1</v>
      </c>
      <c r="E11" s="32">
        <v>2</v>
      </c>
      <c r="F11" s="32">
        <v>1</v>
      </c>
      <c r="G11" s="32"/>
      <c r="H11" s="37" t="s">
        <v>198</v>
      </c>
      <c r="I11" s="39" t="s">
        <v>235</v>
      </c>
      <c r="J11" s="37"/>
      <c r="K11" s="37"/>
      <c r="L11" s="39" t="s">
        <v>235</v>
      </c>
      <c r="M11" s="37"/>
      <c r="N11" s="37"/>
      <c r="O11" s="30" t="s">
        <v>63</v>
      </c>
      <c r="P11" s="31">
        <v>2</v>
      </c>
      <c r="Q11" s="32" t="s">
        <v>185</v>
      </c>
      <c r="R11" s="32">
        <v>2</v>
      </c>
      <c r="S11" s="32">
        <v>3</v>
      </c>
      <c r="T11" s="37" t="s">
        <v>219</v>
      </c>
      <c r="W11" t="s">
        <v>235</v>
      </c>
    </row>
    <row r="12" spans="1:26" ht="51" x14ac:dyDescent="0.2">
      <c r="A12" s="30" t="s">
        <v>14</v>
      </c>
      <c r="B12" s="36">
        <v>3</v>
      </c>
      <c r="C12" s="32" t="s">
        <v>186</v>
      </c>
      <c r="D12" s="32">
        <v>1</v>
      </c>
      <c r="E12" s="32"/>
      <c r="F12" s="32">
        <v>1</v>
      </c>
      <c r="G12" s="32">
        <v>1</v>
      </c>
      <c r="H12" s="37" t="s">
        <v>199</v>
      </c>
      <c r="I12" s="39" t="s">
        <v>235</v>
      </c>
      <c r="J12" s="37"/>
      <c r="K12" s="37"/>
      <c r="L12" s="39" t="s">
        <v>235</v>
      </c>
      <c r="M12" s="37"/>
      <c r="N12" s="37"/>
      <c r="O12" s="30" t="s">
        <v>94</v>
      </c>
      <c r="P12" s="31">
        <v>2</v>
      </c>
      <c r="Q12" s="32" t="s">
        <v>185</v>
      </c>
      <c r="R12" s="32">
        <v>4</v>
      </c>
      <c r="S12" s="32">
        <v>6</v>
      </c>
      <c r="T12" s="37" t="s">
        <v>220</v>
      </c>
      <c r="Z12" s="41" t="s">
        <v>235</v>
      </c>
    </row>
    <row r="13" spans="1:26" ht="102" x14ac:dyDescent="0.2">
      <c r="A13" s="30" t="s">
        <v>15</v>
      </c>
      <c r="B13" s="31">
        <v>3</v>
      </c>
      <c r="C13" s="32" t="s">
        <v>186</v>
      </c>
      <c r="D13" s="32">
        <v>2</v>
      </c>
      <c r="E13" s="32">
        <v>2</v>
      </c>
      <c r="F13" s="32">
        <v>1</v>
      </c>
      <c r="G13" s="32"/>
      <c r="H13" s="37" t="s">
        <v>239</v>
      </c>
      <c r="I13" s="37"/>
      <c r="J13" s="37" t="s">
        <v>235</v>
      </c>
      <c r="K13" s="37"/>
      <c r="L13" s="37"/>
      <c r="M13" s="37"/>
      <c r="N13" s="37"/>
      <c r="O13" s="30" t="s">
        <v>71</v>
      </c>
      <c r="P13" s="31">
        <v>3</v>
      </c>
      <c r="Q13" s="24" t="s">
        <v>186</v>
      </c>
      <c r="R13" s="32">
        <v>1</v>
      </c>
      <c r="S13" s="32">
        <v>3</v>
      </c>
      <c r="T13" s="37" t="s">
        <v>243</v>
      </c>
      <c r="U13" t="s">
        <v>235</v>
      </c>
      <c r="X13" t="s">
        <v>235</v>
      </c>
    </row>
    <row r="14" spans="1:26" ht="68" x14ac:dyDescent="0.2">
      <c r="A14" s="30" t="s">
        <v>17</v>
      </c>
      <c r="B14" s="31">
        <v>2</v>
      </c>
      <c r="C14" s="32" t="s">
        <v>185</v>
      </c>
      <c r="D14" s="32">
        <v>2</v>
      </c>
      <c r="E14" s="32">
        <v>1</v>
      </c>
      <c r="F14" s="32">
        <v>1</v>
      </c>
      <c r="G14" s="32">
        <v>1</v>
      </c>
      <c r="H14" s="37" t="s">
        <v>200</v>
      </c>
      <c r="I14" s="37"/>
      <c r="J14" s="37" t="s">
        <v>235</v>
      </c>
      <c r="K14" s="37"/>
      <c r="L14" s="37"/>
      <c r="M14" s="37"/>
      <c r="N14" s="37"/>
      <c r="O14" s="30" t="s">
        <v>72</v>
      </c>
      <c r="P14" s="31">
        <v>2</v>
      </c>
      <c r="Q14" s="32" t="s">
        <v>185</v>
      </c>
      <c r="R14" s="32">
        <v>0</v>
      </c>
      <c r="S14" s="32">
        <v>1</v>
      </c>
      <c r="T14" s="37" t="s">
        <v>221</v>
      </c>
      <c r="U14" s="34" t="s">
        <v>235</v>
      </c>
      <c r="X14" t="s">
        <v>235</v>
      </c>
    </row>
    <row r="15" spans="1:26" ht="51" x14ac:dyDescent="0.2">
      <c r="A15" s="30" t="s">
        <v>18</v>
      </c>
      <c r="B15" s="31">
        <v>3</v>
      </c>
      <c r="C15" s="32" t="s">
        <v>186</v>
      </c>
      <c r="D15" s="32">
        <v>2</v>
      </c>
      <c r="E15" s="32">
        <v>1</v>
      </c>
      <c r="F15" s="32">
        <v>1</v>
      </c>
      <c r="G15" s="32">
        <v>1</v>
      </c>
      <c r="H15" s="37" t="s">
        <v>201</v>
      </c>
      <c r="I15" s="39" t="s">
        <v>235</v>
      </c>
      <c r="J15" s="37"/>
      <c r="K15" s="37"/>
      <c r="L15" s="39" t="s">
        <v>235</v>
      </c>
      <c r="M15" s="37"/>
      <c r="N15" s="37"/>
      <c r="O15" s="30" t="s">
        <v>76</v>
      </c>
      <c r="P15" s="31">
        <v>3</v>
      </c>
      <c r="Q15" s="24" t="s">
        <v>186</v>
      </c>
      <c r="R15" s="32">
        <v>1</v>
      </c>
      <c r="S15" s="32">
        <v>2</v>
      </c>
      <c r="T15" s="37" t="s">
        <v>222</v>
      </c>
      <c r="U15" t="s">
        <v>235</v>
      </c>
      <c r="X15" t="s">
        <v>235</v>
      </c>
    </row>
    <row r="16" spans="1:26" ht="102" x14ac:dyDescent="0.2">
      <c r="A16" s="30" t="s">
        <v>19</v>
      </c>
      <c r="B16" s="31">
        <v>2</v>
      </c>
      <c r="C16" s="32" t="s">
        <v>185</v>
      </c>
      <c r="D16" s="32">
        <v>1</v>
      </c>
      <c r="E16" s="32">
        <v>1</v>
      </c>
      <c r="F16" s="32">
        <v>1</v>
      </c>
      <c r="G16" s="32">
        <v>1</v>
      </c>
      <c r="H16" s="37" t="s">
        <v>210</v>
      </c>
      <c r="I16" s="37"/>
      <c r="J16" s="37" t="s">
        <v>235</v>
      </c>
      <c r="K16" s="37"/>
      <c r="L16" s="37"/>
      <c r="M16" s="37"/>
      <c r="N16" s="37"/>
      <c r="O16" s="30" t="s">
        <v>74</v>
      </c>
      <c r="P16" s="31">
        <v>3</v>
      </c>
      <c r="Q16" s="24" t="s">
        <v>186</v>
      </c>
      <c r="R16" s="32">
        <v>0</v>
      </c>
      <c r="S16" s="32">
        <v>2</v>
      </c>
      <c r="T16" s="37" t="s">
        <v>242</v>
      </c>
      <c r="U16" t="s">
        <v>235</v>
      </c>
    </row>
    <row r="17" spans="1:26" ht="68" x14ac:dyDescent="0.2">
      <c r="A17" s="30" t="s">
        <v>20</v>
      </c>
      <c r="B17" s="31">
        <v>2</v>
      </c>
      <c r="C17" s="24" t="s">
        <v>185</v>
      </c>
      <c r="D17" s="32">
        <v>4</v>
      </c>
      <c r="E17" s="32">
        <v>2</v>
      </c>
      <c r="F17" s="32">
        <v>3</v>
      </c>
      <c r="G17" s="32">
        <v>3</v>
      </c>
      <c r="H17" s="37" t="s">
        <v>202</v>
      </c>
      <c r="I17" s="37"/>
      <c r="J17" s="37"/>
      <c r="K17" s="37"/>
      <c r="L17" s="37"/>
      <c r="M17" s="37"/>
      <c r="N17" s="39" t="s">
        <v>235</v>
      </c>
      <c r="O17" s="30" t="s">
        <v>97</v>
      </c>
      <c r="P17" s="31">
        <v>2</v>
      </c>
      <c r="Q17" s="32" t="s">
        <v>185</v>
      </c>
      <c r="R17" s="32">
        <v>4</v>
      </c>
      <c r="S17" s="32">
        <v>5</v>
      </c>
      <c r="T17" s="37" t="s">
        <v>223</v>
      </c>
      <c r="V17" t="s">
        <v>235</v>
      </c>
    </row>
    <row r="18" spans="1:26" ht="102" x14ac:dyDescent="0.2">
      <c r="A18" s="30" t="s">
        <v>21</v>
      </c>
      <c r="B18" s="31">
        <v>3</v>
      </c>
      <c r="C18" s="32" t="s">
        <v>186</v>
      </c>
      <c r="D18" s="32">
        <v>2</v>
      </c>
      <c r="E18" s="32">
        <v>1</v>
      </c>
      <c r="F18" s="32">
        <v>2</v>
      </c>
      <c r="G18" s="32"/>
      <c r="H18" s="37" t="s">
        <v>240</v>
      </c>
      <c r="I18" s="37"/>
      <c r="J18" s="37" t="s">
        <v>235</v>
      </c>
      <c r="K18" s="37"/>
      <c r="L18" s="37"/>
      <c r="M18" s="37"/>
      <c r="N18" s="37"/>
      <c r="O18" s="30" t="s">
        <v>95</v>
      </c>
      <c r="P18" s="31">
        <v>2</v>
      </c>
      <c r="Q18" s="32" t="s">
        <v>185</v>
      </c>
      <c r="R18" s="32">
        <v>1</v>
      </c>
      <c r="S18" s="32">
        <v>2</v>
      </c>
      <c r="T18" s="37" t="s">
        <v>224</v>
      </c>
      <c r="U18" t="s">
        <v>235</v>
      </c>
    </row>
    <row r="19" spans="1:26" ht="34" x14ac:dyDescent="0.2">
      <c r="A19" s="30" t="s">
        <v>22</v>
      </c>
      <c r="B19" s="31">
        <v>3</v>
      </c>
      <c r="C19" s="32" t="s">
        <v>186</v>
      </c>
      <c r="D19" s="32">
        <v>1</v>
      </c>
      <c r="E19" s="32"/>
      <c r="F19" s="32">
        <v>1</v>
      </c>
      <c r="G19" s="32">
        <v>1</v>
      </c>
      <c r="H19" s="37" t="s">
        <v>203</v>
      </c>
      <c r="I19" s="39" t="s">
        <v>235</v>
      </c>
      <c r="J19" s="37"/>
      <c r="K19" s="37"/>
      <c r="L19" s="39" t="s">
        <v>235</v>
      </c>
      <c r="M19" s="37"/>
      <c r="N19" s="37"/>
      <c r="O19" s="30" t="s">
        <v>60</v>
      </c>
      <c r="P19" s="31">
        <v>2</v>
      </c>
      <c r="Q19" s="32" t="s">
        <v>185</v>
      </c>
      <c r="R19" s="32">
        <v>1</v>
      </c>
      <c r="S19" s="32" t="s">
        <v>135</v>
      </c>
      <c r="T19" s="37" t="s">
        <v>225</v>
      </c>
      <c r="U19" s="42" t="s">
        <v>235</v>
      </c>
    </row>
    <row r="20" spans="1:26" ht="68" x14ac:dyDescent="0.2">
      <c r="A20" s="30" t="s">
        <v>23</v>
      </c>
      <c r="B20" s="31">
        <v>3</v>
      </c>
      <c r="C20" s="32" t="s">
        <v>186</v>
      </c>
      <c r="D20" s="32">
        <v>0</v>
      </c>
      <c r="E20" s="32"/>
      <c r="F20" s="32"/>
      <c r="G20" s="32"/>
      <c r="H20" s="37" t="s">
        <v>204</v>
      </c>
      <c r="I20" s="37" t="s">
        <v>235</v>
      </c>
      <c r="J20" s="37"/>
      <c r="K20" s="37"/>
      <c r="L20" s="37"/>
      <c r="M20" s="37"/>
      <c r="N20" s="37"/>
      <c r="O20" s="30" t="s">
        <v>68</v>
      </c>
      <c r="P20" s="31">
        <v>3</v>
      </c>
      <c r="Q20" s="32" t="s">
        <v>185</v>
      </c>
      <c r="R20" s="32">
        <v>1</v>
      </c>
      <c r="S20" s="32">
        <v>2</v>
      </c>
      <c r="T20" s="37" t="s">
        <v>226</v>
      </c>
      <c r="W20" s="41" t="s">
        <v>235</v>
      </c>
    </row>
    <row r="21" spans="1:26" ht="34" x14ac:dyDescent="0.2">
      <c r="A21" s="30" t="s">
        <v>25</v>
      </c>
      <c r="B21" s="31">
        <v>2</v>
      </c>
      <c r="C21" s="24" t="s">
        <v>185</v>
      </c>
      <c r="D21" s="32">
        <v>2</v>
      </c>
      <c r="E21" s="32">
        <v>2</v>
      </c>
      <c r="F21" s="32">
        <v>2</v>
      </c>
      <c r="G21" s="32"/>
      <c r="H21" s="37" t="s">
        <v>205</v>
      </c>
      <c r="I21" s="37"/>
      <c r="J21" s="37"/>
      <c r="K21" s="37"/>
      <c r="L21" s="37"/>
      <c r="M21" s="37"/>
      <c r="N21" s="39" t="s">
        <v>235</v>
      </c>
      <c r="O21" s="30" t="s">
        <v>91</v>
      </c>
      <c r="P21" s="31">
        <v>3</v>
      </c>
      <c r="Q21" s="24" t="s">
        <v>186</v>
      </c>
      <c r="R21" s="32">
        <v>2</v>
      </c>
      <c r="S21" s="32">
        <v>2</v>
      </c>
      <c r="T21" s="37" t="s">
        <v>227</v>
      </c>
      <c r="U21" t="s">
        <v>235</v>
      </c>
      <c r="X21" t="s">
        <v>235</v>
      </c>
    </row>
    <row r="22" spans="1:26" ht="85" x14ac:dyDescent="0.2">
      <c r="A22" s="30" t="s">
        <v>27</v>
      </c>
      <c r="B22" s="31">
        <v>3</v>
      </c>
      <c r="C22" s="32" t="s">
        <v>186</v>
      </c>
      <c r="D22" s="32">
        <v>2</v>
      </c>
      <c r="E22" s="32">
        <v>1</v>
      </c>
      <c r="F22" s="32">
        <v>1</v>
      </c>
      <c r="G22" s="32">
        <v>1</v>
      </c>
      <c r="H22" s="37" t="s">
        <v>206</v>
      </c>
      <c r="I22" s="37" t="s">
        <v>235</v>
      </c>
      <c r="J22" s="37" t="s">
        <v>235</v>
      </c>
      <c r="K22" s="37"/>
      <c r="L22" s="37" t="s">
        <v>235</v>
      </c>
      <c r="M22" s="37"/>
      <c r="N22" s="37"/>
      <c r="O22" s="30" t="s">
        <v>59</v>
      </c>
      <c r="P22" s="31">
        <v>2</v>
      </c>
      <c r="Q22" s="32" t="s">
        <v>185</v>
      </c>
      <c r="R22" s="32">
        <v>1</v>
      </c>
      <c r="S22" s="32">
        <v>2</v>
      </c>
      <c r="T22" s="37" t="s">
        <v>228</v>
      </c>
      <c r="U22" t="s">
        <v>235</v>
      </c>
    </row>
    <row r="23" spans="1:26" ht="34" x14ac:dyDescent="0.2">
      <c r="A23" s="30" t="s">
        <v>28</v>
      </c>
      <c r="B23" s="31">
        <v>2</v>
      </c>
      <c r="C23" s="24" t="s">
        <v>185</v>
      </c>
      <c r="D23" s="32">
        <v>3</v>
      </c>
      <c r="E23" s="32">
        <v>3</v>
      </c>
      <c r="F23" s="32">
        <v>1</v>
      </c>
      <c r="G23" s="32">
        <v>1</v>
      </c>
      <c r="H23" s="37" t="s">
        <v>207</v>
      </c>
      <c r="I23" s="37"/>
      <c r="J23" s="37"/>
      <c r="K23" s="37"/>
      <c r="L23" s="37"/>
      <c r="M23" s="37"/>
      <c r="N23" s="39" t="s">
        <v>235</v>
      </c>
      <c r="O23" s="30" t="s">
        <v>70</v>
      </c>
      <c r="P23" s="31">
        <v>3</v>
      </c>
      <c r="Q23" s="32" t="s">
        <v>186</v>
      </c>
      <c r="R23" s="32">
        <v>1</v>
      </c>
      <c r="S23" s="32">
        <v>2</v>
      </c>
      <c r="T23" s="37" t="s">
        <v>229</v>
      </c>
      <c r="U23" t="s">
        <v>235</v>
      </c>
    </row>
    <row r="24" spans="1:26" ht="68" x14ac:dyDescent="0.2">
      <c r="A24" s="30" t="s">
        <v>30</v>
      </c>
      <c r="B24" s="31">
        <v>3</v>
      </c>
      <c r="C24" s="32" t="s">
        <v>186</v>
      </c>
      <c r="D24" s="32">
        <v>1</v>
      </c>
      <c r="E24" s="32">
        <v>1</v>
      </c>
      <c r="F24" s="32"/>
      <c r="G24" s="32">
        <v>1</v>
      </c>
      <c r="H24" s="37" t="s">
        <v>208</v>
      </c>
      <c r="I24" s="39" t="s">
        <v>235</v>
      </c>
      <c r="J24" s="37"/>
      <c r="K24" s="37"/>
      <c r="L24" s="39" t="s">
        <v>235</v>
      </c>
      <c r="M24" s="37"/>
      <c r="N24" s="37"/>
      <c r="O24" s="30" t="s">
        <v>65</v>
      </c>
      <c r="P24" s="31">
        <v>4</v>
      </c>
      <c r="Q24" s="32" t="s">
        <v>186</v>
      </c>
      <c r="R24" s="32">
        <v>2</v>
      </c>
      <c r="S24" s="32">
        <v>2</v>
      </c>
      <c r="T24" s="37" t="s">
        <v>230</v>
      </c>
      <c r="Z24" s="41" t="s">
        <v>235</v>
      </c>
    </row>
    <row r="25" spans="1:26" ht="136" x14ac:dyDescent="0.2">
      <c r="A25" s="30" t="s">
        <v>31</v>
      </c>
      <c r="B25" s="31">
        <v>2</v>
      </c>
      <c r="C25" s="24" t="s">
        <v>185</v>
      </c>
      <c r="D25" s="32">
        <v>3</v>
      </c>
      <c r="E25" s="32"/>
      <c r="F25" s="32">
        <v>1</v>
      </c>
      <c r="G25" s="32">
        <v>2</v>
      </c>
      <c r="H25" s="37" t="s">
        <v>209</v>
      </c>
      <c r="I25" s="37"/>
      <c r="J25" s="37" t="s">
        <v>235</v>
      </c>
      <c r="K25" s="37"/>
      <c r="L25" s="37"/>
      <c r="M25" s="37"/>
      <c r="N25" s="37"/>
      <c r="O25" s="30" t="s">
        <v>78</v>
      </c>
      <c r="P25" s="31">
        <v>3</v>
      </c>
      <c r="Q25" s="24" t="s">
        <v>186</v>
      </c>
      <c r="R25" s="32">
        <v>2</v>
      </c>
      <c r="S25" s="32">
        <v>2</v>
      </c>
      <c r="T25" s="37" t="s">
        <v>231</v>
      </c>
      <c r="U25" t="s">
        <v>235</v>
      </c>
      <c r="X25" t="s">
        <v>235</v>
      </c>
    </row>
    <row r="28" spans="1:26" x14ac:dyDescent="0.2">
      <c r="A28" t="s">
        <v>188</v>
      </c>
      <c r="B28">
        <f>SUM(B2:B25)+SUM(P2:P25)</f>
        <v>128</v>
      </c>
      <c r="O28" s="33"/>
      <c r="P28" s="33"/>
      <c r="Q28" s="33"/>
      <c r="R28" s="33"/>
      <c r="S28" s="33"/>
      <c r="T28" s="33"/>
    </row>
    <row r="30" spans="1:26" x14ac:dyDescent="0.2">
      <c r="H30" t="s">
        <v>244</v>
      </c>
      <c r="I30" t="s">
        <v>251</v>
      </c>
    </row>
    <row r="31" spans="1:26" x14ac:dyDescent="0.2">
      <c r="H31" t="s">
        <v>245</v>
      </c>
    </row>
    <row r="32" spans="1:26" x14ac:dyDescent="0.2">
      <c r="H32" t="s">
        <v>247</v>
      </c>
    </row>
    <row r="33" spans="8:8" x14ac:dyDescent="0.2">
      <c r="H33" t="s">
        <v>246</v>
      </c>
    </row>
    <row r="34" spans="8:8" x14ac:dyDescent="0.2">
      <c r="H34" t="s">
        <v>248</v>
      </c>
    </row>
    <row r="35" spans="8:8" x14ac:dyDescent="0.2">
      <c r="H35" t="s">
        <v>249</v>
      </c>
    </row>
    <row r="37" spans="8:8" x14ac:dyDescent="0.2">
      <c r="H37" t="s">
        <v>250</v>
      </c>
    </row>
    <row r="38" spans="8:8" x14ac:dyDescent="0.2">
      <c r="H38" t="s">
        <v>254</v>
      </c>
    </row>
    <row r="39" spans="8:8" x14ac:dyDescent="0.2">
      <c r="H39" t="s">
        <v>253</v>
      </c>
    </row>
    <row r="40" spans="8:8" x14ac:dyDescent="0.2">
      <c r="H40" t="s">
        <v>252</v>
      </c>
    </row>
    <row r="41" spans="8:8" x14ac:dyDescent="0.2">
      <c r="H41" t="s">
        <v>255</v>
      </c>
    </row>
  </sheetData>
  <sortState xmlns:xlrd2="http://schemas.microsoft.com/office/spreadsheetml/2017/richdata2" ref="A2:H28">
    <sortCondition ref="A2:A2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All Cards</vt:lpstr>
      <vt:lpstr>Rulebook Cards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Nicholson</dc:creator>
  <cp:lastModifiedBy>Alexander Nicholson</cp:lastModifiedBy>
  <dcterms:created xsi:type="dcterms:W3CDTF">2024-07-28T01:30:35Z</dcterms:created>
  <dcterms:modified xsi:type="dcterms:W3CDTF">2024-10-22T13:25:22Z</dcterms:modified>
</cp:coreProperties>
</file>